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s" sheetId="1" state="visible" r:id="rId1"/>
    <sheet xmlns:r="http://schemas.openxmlformats.org/officeDocument/2006/relationships" name="frame" sheetId="2" state="visible" r:id="rId2"/>
    <sheet xmlns:r="http://schemas.openxmlformats.org/officeDocument/2006/relationships" name="tri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2" max="2"/>
    <col width="60" customWidth="1" min="3" max="3"/>
  </cols>
  <sheetData>
    <row r="1">
      <c r="A1" t="inlineStr">
        <is>
          <t>تمرین</t>
        </is>
      </c>
      <c r="B1" t="inlineStr">
        <is>
          <t>پرسش</t>
        </is>
      </c>
      <c r="C1" t="inlineStr">
        <is>
          <t>فرمول</t>
        </is>
      </c>
      <c r="D1" t="inlineStr">
        <is>
          <t>جواب</t>
        </is>
      </c>
      <c r="E1" t="inlineStr">
        <is>
          <t>جواب مورد انتظار</t>
        </is>
      </c>
    </row>
    <row r="2">
      <c r="A2" t="inlineStr">
        <is>
          <t>ع۱</t>
        </is>
      </c>
      <c r="B2" t="inlineStr">
        <is>
          <t>μ</t>
        </is>
      </c>
      <c r="C2" t="inlineStr">
        <is>
          <t>AVERAGE(frame!G2:G601)</t>
        </is>
      </c>
      <c r="D2" s="1">
        <f>AVERAGE(frame!G2:G601)</f>
        <v/>
      </c>
      <c r="E2" t="n">
        <v>129.88</v>
      </c>
    </row>
    <row r="3">
      <c r="A3" t="inlineStr">
        <is>
          <t>ع۱</t>
        </is>
      </c>
      <c r="B3" t="inlineStr">
        <is>
          <t>π (%)</t>
        </is>
      </c>
      <c r="C3" t="inlineStr">
        <is>
          <t>100*AVERAGE(frame!H2:H601)</t>
        </is>
      </c>
      <c r="D3" s="1">
        <f>100*AVERAGE(frame!H2:H601)</f>
        <v/>
      </c>
      <c r="E3" t="n">
        <v>27.5</v>
      </c>
    </row>
    <row r="4">
      <c r="A4" t="inlineStr">
        <is>
          <t>ع۱</t>
        </is>
      </c>
      <c r="B4" t="inlineStr">
        <is>
          <t>شیوع محلهٔ ۱ (%)</t>
        </is>
      </c>
      <c r="C4" t="inlineStr">
        <is>
          <t>100*AVERAGEIF(frame!B2:B601,1,frame!H2:H601)</t>
        </is>
      </c>
      <c r="D4" s="1">
        <f>100*AVERAGEIF(frame!B2:B601,1,frame!H2:H601)</f>
        <v/>
      </c>
      <c r="E4" t="n">
        <v>38</v>
      </c>
    </row>
    <row r="5">
      <c r="A5" t="inlineStr">
        <is>
          <t>ع۱</t>
        </is>
      </c>
      <c r="B5" t="inlineStr">
        <is>
          <t>شیوع محلهٔ ۴ (%)</t>
        </is>
      </c>
      <c r="C5" t="inlineStr">
        <is>
          <t>100*AVERAGEIF(frame!B2:B601,4,frame!H2:H601)</t>
        </is>
      </c>
      <c r="D5" s="1">
        <f>100*AVERAGEIF(frame!B2:B601,4,frame!H2:H601)</f>
        <v/>
      </c>
      <c r="E5" t="n">
        <v>18</v>
      </c>
    </row>
    <row r="6">
      <c r="A6" t="inlineStr">
        <is>
          <t>ع۲</t>
        </is>
      </c>
      <c r="B6" t="inlineStr">
        <is>
          <t>SRS n</t>
        </is>
      </c>
      <c r="C6" t="inlineStr">
        <is>
          <t>SUM(frame!L2:L601)</t>
        </is>
      </c>
      <c r="D6" s="1">
        <f>SUM(frame!L2:L601)</f>
        <v/>
      </c>
      <c r="E6" t="n">
        <v>60</v>
      </c>
    </row>
    <row r="7">
      <c r="A7" t="inlineStr">
        <is>
          <t>ع۲</t>
        </is>
      </c>
      <c r="B7" t="inlineStr">
        <is>
          <t>SRS میانگین فشار</t>
        </is>
      </c>
      <c r="C7" t="inlineStr">
        <is>
          <t>AVERAGEIFS(frame!G2:G601,frame!L2:L601,1)</t>
        </is>
      </c>
      <c r="D7" s="1">
        <f>AVERAGEIFS(frame!G2:G601,frame!L2:L601,1)</f>
        <v/>
      </c>
      <c r="E7" t="n">
        <v>133.12</v>
      </c>
    </row>
    <row r="8">
      <c r="A8" t="inlineStr">
        <is>
          <t>ع۲</t>
        </is>
      </c>
      <c r="B8" t="inlineStr">
        <is>
          <t>SRS شیوع</t>
        </is>
      </c>
      <c r="C8" t="inlineStr">
        <is>
          <t>100*AVERAGEIFS(frame!H2:H601,frame!L2:L601,1)</t>
        </is>
      </c>
      <c r="D8" s="1">
        <f>100*AVERAGEIFS(frame!H2:H601,frame!L2:L601,1)</f>
        <v/>
      </c>
      <c r="E8" t="n">
        <v>33.33</v>
      </c>
    </row>
    <row r="9">
      <c r="A9" t="inlineStr">
        <is>
          <t>ع۳</t>
        </is>
      </c>
      <c r="B9" t="inlineStr">
        <is>
          <t>سیستماتیک n</t>
        </is>
      </c>
      <c r="C9" t="inlineStr">
        <is>
          <t>SUM(frame!M2:M601)</t>
        </is>
      </c>
      <c r="D9" s="1">
        <f>SUM(frame!M2:M601)</f>
        <v/>
      </c>
      <c r="E9" t="n">
        <v>60</v>
      </c>
    </row>
    <row r="10">
      <c r="A10" t="inlineStr">
        <is>
          <t>ع۳</t>
        </is>
      </c>
      <c r="B10" t="inlineStr">
        <is>
          <t>سیستماتیک میانگین</t>
        </is>
      </c>
      <c r="C10" t="inlineStr">
        <is>
          <t>AVERAGEIFS(frame!G2:G601,frame!M2:M601,1)</t>
        </is>
      </c>
      <c r="D10" s="1">
        <f>AVERAGEIFS(frame!G2:G601,frame!M2:M601,1)</f>
        <v/>
      </c>
      <c r="E10" t="n">
        <v>131.7</v>
      </c>
    </row>
    <row r="11">
      <c r="A11" t="inlineStr">
        <is>
          <t>ع۳</t>
        </is>
      </c>
      <c r="B11" t="inlineStr">
        <is>
          <t>سیستماتیک شیوع</t>
        </is>
      </c>
      <c r="C11" t="inlineStr">
        <is>
          <t>100*AVERAGEIFS(frame!H2:H601,frame!M2:M601,1)</t>
        </is>
      </c>
      <c r="D11" s="1">
        <f>100*AVERAGEIFS(frame!H2:H601,frame!M2:M601,1)</f>
        <v/>
      </c>
      <c r="E11" t="n">
        <v>31.67</v>
      </c>
    </row>
    <row r="12">
      <c r="A12" t="inlineStr">
        <is>
          <t>ع۴</t>
        </is>
      </c>
      <c r="B12" t="inlineStr">
        <is>
          <t>طبقه‌ای n</t>
        </is>
      </c>
      <c r="C12" t="inlineStr">
        <is>
          <t>SUM(frame!P2:P601)</t>
        </is>
      </c>
      <c r="D12" s="1">
        <f>SUM(frame!P2:P601)</f>
        <v/>
      </c>
      <c r="E12" t="n">
        <v>60</v>
      </c>
    </row>
    <row r="13">
      <c r="A13" t="inlineStr">
        <is>
          <t>ع۴</t>
        </is>
      </c>
      <c r="B13" t="inlineStr">
        <is>
          <t>طبقه‌ای میانگین</t>
        </is>
      </c>
      <c r="C13" t="inlineStr">
        <is>
          <t>AVERAGEIFS(frame!G2:G601,frame!P2:P601,1)</t>
        </is>
      </c>
      <c r="D13" s="1">
        <f>AVERAGEIFS(frame!G2:G601,frame!P2:P601,1)</f>
        <v/>
      </c>
      <c r="E13" t="n">
        <v>135.25</v>
      </c>
    </row>
    <row r="14">
      <c r="A14" t="inlineStr">
        <is>
          <t>ع۴</t>
        </is>
      </c>
      <c r="B14" t="inlineStr">
        <is>
          <t>طبقه‌ای شیوع</t>
        </is>
      </c>
      <c r="C14" t="inlineStr">
        <is>
          <t>100*AVERAGEIFS(frame!H2:H601,frame!P2:P601,1)</t>
        </is>
      </c>
      <c r="D14" s="1">
        <f>100*AVERAGEIFS(frame!H2:H601,frame!P2:P601,1)</f>
        <v/>
      </c>
      <c r="E14" t="n">
        <v>38.33</v>
      </c>
    </row>
    <row r="15">
      <c r="A15" t="inlineStr">
        <is>
          <t>ع۵</t>
        </is>
      </c>
      <c r="B15" t="inlineStr">
        <is>
          <t>خوشه‌ای n</t>
        </is>
      </c>
      <c r="C15" t="inlineStr">
        <is>
          <t>SUM(frame!Q2:Q601)</t>
        </is>
      </c>
      <c r="D15" s="1">
        <f>SUM(frame!Q2:Q601)</f>
        <v/>
      </c>
      <c r="E15" t="n">
        <v>60</v>
      </c>
    </row>
    <row r="16">
      <c r="A16" t="inlineStr">
        <is>
          <t>ع۵</t>
        </is>
      </c>
      <c r="B16" t="inlineStr">
        <is>
          <t>خوشه‌ای میانگین</t>
        </is>
      </c>
      <c r="C16" t="inlineStr">
        <is>
          <t>AVERAGEIFS(frame!G2:G601,frame!Q2:Q601,1)</t>
        </is>
      </c>
      <c r="D16" s="1">
        <f>AVERAGEIFS(frame!G2:G601,frame!Q2:Q601,1)</f>
        <v/>
      </c>
      <c r="E16" t="n">
        <v>129.28</v>
      </c>
    </row>
    <row r="17">
      <c r="A17" t="inlineStr">
        <is>
          <t>ع۵</t>
        </is>
      </c>
      <c r="B17" t="inlineStr">
        <is>
          <t>خوشه‌ای شیوع</t>
        </is>
      </c>
      <c r="C17" t="inlineStr">
        <is>
          <t>100*AVERAGEIFS(frame!H2:H601,frame!Q2:Q601,1)</t>
        </is>
      </c>
      <c r="D17" s="1">
        <f>100*AVERAGEIFS(frame!H2:H601,frame!Q2:Q601,1)</f>
        <v/>
      </c>
      <c r="E17" t="n">
        <v>33.33</v>
      </c>
    </row>
    <row r="18">
      <c r="A18" t="inlineStr">
        <is>
          <t>ع۶</t>
        </is>
      </c>
      <c r="B18" t="inlineStr">
        <is>
          <t>تعداد A</t>
        </is>
      </c>
      <c r="C18" t="inlineStr">
        <is>
          <t>COUNTIF(trial!E2:E25,"A")</t>
        </is>
      </c>
      <c r="D18" s="1">
        <f>COUNTIF(trial!E2:E25,"A")</f>
        <v/>
      </c>
      <c r="E18" t="n">
        <v>12</v>
      </c>
    </row>
    <row r="19">
      <c r="A19" t="inlineStr">
        <is>
          <t>ع۶</t>
        </is>
      </c>
      <c r="B19" t="inlineStr">
        <is>
          <t>گروه بیمار ۳ (A=1)</t>
        </is>
      </c>
      <c r="C19" t="inlineStr">
        <is>
          <t>IF(trial!E4="A",1,0)</t>
        </is>
      </c>
      <c r="D19" s="1">
        <f>IF(trial!E4="A",1,0)</f>
        <v/>
      </c>
      <c r="E19" t="n">
        <v>1</v>
      </c>
    </row>
    <row r="20">
      <c r="A20" t="inlineStr">
        <is>
          <t>ع۶</t>
        </is>
      </c>
      <c r="B20" t="inlineStr">
        <is>
          <t>گروه بیمار ۵ (A=1)</t>
        </is>
      </c>
      <c r="C20" t="inlineStr">
        <is>
          <t>IF(trial!E6="A",1,0)</t>
        </is>
      </c>
      <c r="D20" s="1">
        <f>IF(trial!E6="A",1,0)</f>
        <v/>
      </c>
      <c r="E20" t="n">
        <v>0</v>
      </c>
    </row>
    <row r="21">
      <c r="A21" t="inlineStr">
        <is>
          <t>ع۷</t>
        </is>
      </c>
      <c r="B21" t="inlineStr">
        <is>
          <t>در دسترس میانگین</t>
        </is>
      </c>
      <c r="C21" t="inlineStr">
        <is>
          <t>AVERAGEIFS(frame!G2:G601,frame!R2:R601,1)</t>
        </is>
      </c>
      <c r="D21" s="1">
        <f>AVERAGEIFS(frame!G2:G601,frame!R2:R601,1)</f>
        <v/>
      </c>
      <c r="E21" t="n">
        <v>148.67</v>
      </c>
    </row>
    <row r="22">
      <c r="A22" t="inlineStr">
        <is>
          <t>ع۷</t>
        </is>
      </c>
      <c r="B22" t="inlineStr">
        <is>
          <t>در دسترس شیوع</t>
        </is>
      </c>
      <c r="C22" t="inlineStr">
        <is>
          <t>100*AVERAGEIFS(frame!H2:H601,frame!R2:R601,1)</t>
        </is>
      </c>
      <c r="D22" s="1">
        <f>100*AVERAGEIFS(frame!H2:H601,frame!R2:R601,1)</f>
        <v/>
      </c>
      <c r="E2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district</t>
        </is>
      </c>
      <c r="C1" s="2" t="inlineStr">
        <is>
          <t>block</t>
        </is>
      </c>
      <c r="D1" s="2" t="inlineStr">
        <is>
          <t>sex</t>
        </is>
      </c>
      <c r="E1" s="2" t="inlineStr">
        <is>
          <t>age</t>
        </is>
      </c>
      <c r="F1" s="2" t="inlineStr">
        <is>
          <t>smoker</t>
        </is>
      </c>
      <c r="G1" s="2" t="inlineStr">
        <is>
          <t>sbp</t>
        </is>
      </c>
      <c r="H1" s="2" t="inlineStr">
        <is>
          <t>htn</t>
        </is>
      </c>
      <c r="I1" s="2" t="inlineStr">
        <is>
          <t>visit_order</t>
        </is>
      </c>
      <c r="J1" s="2" t="inlineStr">
        <is>
          <t>u</t>
        </is>
      </c>
      <c r="K1" s="3" t="inlineStr">
        <is>
          <t>rank_u</t>
        </is>
      </c>
      <c r="L1" s="3" t="inlineStr">
        <is>
          <t>in_srs</t>
        </is>
      </c>
      <c r="M1" s="3" t="inlineStr">
        <is>
          <t>in_sys</t>
        </is>
      </c>
      <c r="N1" s="3" t="inlineStr">
        <is>
          <t>rank_in_district</t>
        </is>
      </c>
      <c r="O1" s="3" t="inlineStr">
        <is>
          <t>alloc</t>
        </is>
      </c>
      <c r="P1" s="3" t="inlineStr">
        <is>
          <t>in_strat</t>
        </is>
      </c>
      <c r="Q1" s="3" t="inlineStr">
        <is>
          <t>in_cluster</t>
        </is>
      </c>
      <c r="R1" s="3" t="inlineStr">
        <is>
          <t>in_conv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80</v>
      </c>
      <c r="F2" t="n">
        <v>0</v>
      </c>
      <c r="G2" t="n">
        <v>152</v>
      </c>
      <c r="H2" t="n">
        <v>1</v>
      </c>
      <c r="I2" t="n">
        <v>71</v>
      </c>
      <c r="J2" t="n">
        <v>0.961643</v>
      </c>
      <c r="K2">
        <f>RANK(J2,$J$2:$J$601,1)</f>
        <v/>
      </c>
      <c r="L2">
        <f>IF(K2&lt;=60,1,0)</f>
        <v/>
      </c>
      <c r="M2">
        <f>IF(MOD(A2-7,10)=0,1,0)</f>
        <v/>
      </c>
      <c r="N2">
        <f>COUNTIFS($B$2:$B$601,B2,$J$2:$J$601,"&lt;"&amp;J2)+1</f>
        <v/>
      </c>
      <c r="O2">
        <f>ROUND(COUNTIF($B$2:$B$601,B2)/600*60,0)</f>
        <v/>
      </c>
      <c r="P2">
        <f>IF(N2&lt;=O2,1,0)</f>
        <v/>
      </c>
      <c r="Q2">
        <f>IF(OR(C2=4,C2=15,C2=27),1,0)</f>
        <v/>
      </c>
      <c r="R2">
        <f>IF(I2&lt;=60,1,0)</f>
        <v/>
      </c>
    </row>
    <row r="3">
      <c r="A3" t="n">
        <v>2</v>
      </c>
      <c r="B3" t="n">
        <v>1</v>
      </c>
      <c r="C3" t="n">
        <v>1</v>
      </c>
      <c r="D3" t="n">
        <v>2</v>
      </c>
      <c r="E3" t="n">
        <v>34</v>
      </c>
      <c r="F3" t="n">
        <v>0</v>
      </c>
      <c r="G3" t="n">
        <v>140</v>
      </c>
      <c r="H3" t="n">
        <v>1</v>
      </c>
      <c r="I3" t="n">
        <v>138</v>
      </c>
      <c r="J3" t="n">
        <v>0.813138</v>
      </c>
      <c r="K3">
        <f>RANK(J3,$J$2:$J$601,1)</f>
        <v/>
      </c>
      <c r="L3">
        <f>IF(K3&lt;=60,1,0)</f>
        <v/>
      </c>
      <c r="M3">
        <f>IF(MOD(A3-7,10)=0,1,0)</f>
        <v/>
      </c>
      <c r="N3">
        <f>COUNTIFS($B$2:$B$601,B3,$J$2:$J$601,"&lt;"&amp;J3)+1</f>
        <v/>
      </c>
      <c r="O3">
        <f>ROUND(COUNTIF($B$2:$B$601,B3)/600*60,0)</f>
        <v/>
      </c>
      <c r="P3">
        <f>IF(N3&lt;=O3,1,0)</f>
        <v/>
      </c>
      <c r="Q3">
        <f>IF(OR(C3=4,C3=15,C3=27),1,0)</f>
        <v/>
      </c>
      <c r="R3">
        <f>IF(I3&lt;=60,1,0)</f>
        <v/>
      </c>
    </row>
    <row r="4">
      <c r="A4" t="n">
        <v>3</v>
      </c>
      <c r="B4" t="n">
        <v>1</v>
      </c>
      <c r="C4" t="n">
        <v>1</v>
      </c>
      <c r="D4" t="n">
        <v>2</v>
      </c>
      <c r="E4" t="n">
        <v>41</v>
      </c>
      <c r="F4" t="n">
        <v>0</v>
      </c>
      <c r="G4" t="n">
        <v>135</v>
      </c>
      <c r="H4" t="n">
        <v>0</v>
      </c>
      <c r="I4" t="n">
        <v>284</v>
      </c>
      <c r="J4" t="n">
        <v>0.751854</v>
      </c>
      <c r="K4">
        <f>RANK(J4,$J$2:$J$601,1)</f>
        <v/>
      </c>
      <c r="L4">
        <f>IF(K4&lt;=60,1,0)</f>
        <v/>
      </c>
      <c r="M4">
        <f>IF(MOD(A4-7,10)=0,1,0)</f>
        <v/>
      </c>
      <c r="N4">
        <f>COUNTIFS($B$2:$B$601,B4,$J$2:$J$601,"&lt;"&amp;J4)+1</f>
        <v/>
      </c>
      <c r="O4">
        <f>ROUND(COUNTIF($B$2:$B$601,B4)/600*60,0)</f>
        <v/>
      </c>
      <c r="P4">
        <f>IF(N4&lt;=O4,1,0)</f>
        <v/>
      </c>
      <c r="Q4">
        <f>IF(OR(C4=4,C4=15,C4=27),1,0)</f>
        <v/>
      </c>
      <c r="R4">
        <f>IF(I4&lt;=60,1,0)</f>
        <v/>
      </c>
    </row>
    <row r="5">
      <c r="A5" t="n">
        <v>4</v>
      </c>
      <c r="B5" t="n">
        <v>1</v>
      </c>
      <c r="C5" t="n">
        <v>1</v>
      </c>
      <c r="D5" t="n">
        <v>2</v>
      </c>
      <c r="E5" t="n">
        <v>79</v>
      </c>
      <c r="F5" t="n">
        <v>0</v>
      </c>
      <c r="G5" t="n">
        <v>132</v>
      </c>
      <c r="H5" t="n">
        <v>0</v>
      </c>
      <c r="I5" t="n">
        <v>177</v>
      </c>
      <c r="J5" t="n">
        <v>0.271206</v>
      </c>
      <c r="K5">
        <f>RANK(J5,$J$2:$J$601,1)</f>
        <v/>
      </c>
      <c r="L5">
        <f>IF(K5&lt;=60,1,0)</f>
        <v/>
      </c>
      <c r="M5">
        <f>IF(MOD(A5-7,10)=0,1,0)</f>
        <v/>
      </c>
      <c r="N5">
        <f>COUNTIFS($B$2:$B$601,B5,$J$2:$J$601,"&lt;"&amp;J5)+1</f>
        <v/>
      </c>
      <c r="O5">
        <f>ROUND(COUNTIF($B$2:$B$601,B5)/600*60,0)</f>
        <v/>
      </c>
      <c r="P5">
        <f>IF(N5&lt;=O5,1,0)</f>
        <v/>
      </c>
      <c r="Q5">
        <f>IF(OR(C5=4,C5=15,C5=27),1,0)</f>
        <v/>
      </c>
      <c r="R5">
        <f>IF(I5&lt;=60,1,0)</f>
        <v/>
      </c>
    </row>
    <row r="6">
      <c r="A6" t="n">
        <v>5</v>
      </c>
      <c r="B6" t="n">
        <v>1</v>
      </c>
      <c r="C6" t="n">
        <v>1</v>
      </c>
      <c r="D6" t="n">
        <v>1</v>
      </c>
      <c r="E6" t="n">
        <v>67</v>
      </c>
      <c r="F6" t="n">
        <v>0</v>
      </c>
      <c r="G6" t="n">
        <v>124</v>
      </c>
      <c r="H6" t="n">
        <v>0</v>
      </c>
      <c r="I6" t="n">
        <v>189</v>
      </c>
      <c r="J6" t="n">
        <v>0.805086</v>
      </c>
      <c r="K6">
        <f>RANK(J6,$J$2:$J$601,1)</f>
        <v/>
      </c>
      <c r="L6">
        <f>IF(K6&lt;=60,1,0)</f>
        <v/>
      </c>
      <c r="M6">
        <f>IF(MOD(A6-7,10)=0,1,0)</f>
        <v/>
      </c>
      <c r="N6">
        <f>COUNTIFS($B$2:$B$601,B6,$J$2:$J$601,"&lt;"&amp;J6)+1</f>
        <v/>
      </c>
      <c r="O6">
        <f>ROUND(COUNTIF($B$2:$B$601,B6)/600*60,0)</f>
        <v/>
      </c>
      <c r="P6">
        <f>IF(N6&lt;=O6,1,0)</f>
        <v/>
      </c>
      <c r="Q6">
        <f>IF(OR(C6=4,C6=15,C6=27),1,0)</f>
        <v/>
      </c>
      <c r="R6">
        <f>IF(I6&lt;=60,1,0)</f>
        <v/>
      </c>
    </row>
    <row r="7">
      <c r="A7" t="n">
        <v>6</v>
      </c>
      <c r="B7" t="n">
        <v>1</v>
      </c>
      <c r="C7" t="n">
        <v>1</v>
      </c>
      <c r="D7" t="n">
        <v>2</v>
      </c>
      <c r="E7" t="n">
        <v>59</v>
      </c>
      <c r="F7" t="n">
        <v>1</v>
      </c>
      <c r="G7" t="n">
        <v>156</v>
      </c>
      <c r="H7" t="n">
        <v>1</v>
      </c>
      <c r="I7" t="n">
        <v>175</v>
      </c>
      <c r="J7" t="n">
        <v>0.350369</v>
      </c>
      <c r="K7">
        <f>RANK(J7,$J$2:$J$601,1)</f>
        <v/>
      </c>
      <c r="L7">
        <f>IF(K7&lt;=60,1,0)</f>
        <v/>
      </c>
      <c r="M7">
        <f>IF(MOD(A7-7,10)=0,1,0)</f>
        <v/>
      </c>
      <c r="N7">
        <f>COUNTIFS($B$2:$B$601,B7,$J$2:$J$601,"&lt;"&amp;J7)+1</f>
        <v/>
      </c>
      <c r="O7">
        <f>ROUND(COUNTIF($B$2:$B$601,B7)/600*60,0)</f>
        <v/>
      </c>
      <c r="P7">
        <f>IF(N7&lt;=O7,1,0)</f>
        <v/>
      </c>
      <c r="Q7">
        <f>IF(OR(C7=4,C7=15,C7=27),1,0)</f>
        <v/>
      </c>
      <c r="R7">
        <f>IF(I7&lt;=60,1,0)</f>
        <v/>
      </c>
    </row>
    <row r="8">
      <c r="A8" t="n">
        <v>7</v>
      </c>
      <c r="B8" t="n">
        <v>1</v>
      </c>
      <c r="C8" t="n">
        <v>1</v>
      </c>
      <c r="D8" t="n">
        <v>2</v>
      </c>
      <c r="E8" t="n">
        <v>50</v>
      </c>
      <c r="F8" t="n">
        <v>1</v>
      </c>
      <c r="G8" t="n">
        <v>138</v>
      </c>
      <c r="H8" t="n">
        <v>0</v>
      </c>
      <c r="I8" t="n">
        <v>401</v>
      </c>
      <c r="J8" t="n">
        <v>0.033569</v>
      </c>
      <c r="K8">
        <f>RANK(J8,$J$2:$J$601,1)</f>
        <v/>
      </c>
      <c r="L8">
        <f>IF(K8&lt;=60,1,0)</f>
        <v/>
      </c>
      <c r="M8">
        <f>IF(MOD(A8-7,10)=0,1,0)</f>
        <v/>
      </c>
      <c r="N8">
        <f>COUNTIFS($B$2:$B$601,B8,$J$2:$J$601,"&lt;"&amp;J8)+1</f>
        <v/>
      </c>
      <c r="O8">
        <f>ROUND(COUNTIF($B$2:$B$601,B8)/600*60,0)</f>
        <v/>
      </c>
      <c r="P8">
        <f>IF(N8&lt;=O8,1,0)</f>
        <v/>
      </c>
      <c r="Q8">
        <f>IF(OR(C8=4,C8=15,C8=27),1,0)</f>
        <v/>
      </c>
      <c r="R8">
        <f>IF(I8&lt;=60,1,0)</f>
        <v/>
      </c>
    </row>
    <row r="9">
      <c r="A9" t="n">
        <v>8</v>
      </c>
      <c r="B9" t="n">
        <v>1</v>
      </c>
      <c r="C9" t="n">
        <v>1</v>
      </c>
      <c r="D9" t="n">
        <v>1</v>
      </c>
      <c r="E9" t="n">
        <v>72</v>
      </c>
      <c r="F9" t="n">
        <v>0</v>
      </c>
      <c r="G9" t="n">
        <v>130</v>
      </c>
      <c r="H9" t="n">
        <v>0</v>
      </c>
      <c r="I9" t="n">
        <v>427</v>
      </c>
      <c r="J9" t="n">
        <v>0.872041</v>
      </c>
      <c r="K9">
        <f>RANK(J9,$J$2:$J$601,1)</f>
        <v/>
      </c>
      <c r="L9">
        <f>IF(K9&lt;=60,1,0)</f>
        <v/>
      </c>
      <c r="M9">
        <f>IF(MOD(A9-7,10)=0,1,0)</f>
        <v/>
      </c>
      <c r="N9">
        <f>COUNTIFS($B$2:$B$601,B9,$J$2:$J$601,"&lt;"&amp;J9)+1</f>
        <v/>
      </c>
      <c r="O9">
        <f>ROUND(COUNTIF($B$2:$B$601,B9)/600*60,0)</f>
        <v/>
      </c>
      <c r="P9">
        <f>IF(N9&lt;=O9,1,0)</f>
        <v/>
      </c>
      <c r="Q9">
        <f>IF(OR(C9=4,C9=15,C9=27),1,0)</f>
        <v/>
      </c>
      <c r="R9">
        <f>IF(I9&lt;=60,1,0)</f>
        <v/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47</v>
      </c>
      <c r="F10" t="n">
        <v>0</v>
      </c>
      <c r="G10" t="n">
        <v>129</v>
      </c>
      <c r="H10" t="n">
        <v>0</v>
      </c>
      <c r="I10" t="n">
        <v>527</v>
      </c>
      <c r="J10" t="n">
        <v>0.393033</v>
      </c>
      <c r="K10">
        <f>RANK(J10,$J$2:$J$601,1)</f>
        <v/>
      </c>
      <c r="L10">
        <f>IF(K10&lt;=60,1,0)</f>
        <v/>
      </c>
      <c r="M10">
        <f>IF(MOD(A10-7,10)=0,1,0)</f>
        <v/>
      </c>
      <c r="N10">
        <f>COUNTIFS($B$2:$B$601,B10,$J$2:$J$601,"&lt;"&amp;J10)+1</f>
        <v/>
      </c>
      <c r="O10">
        <f>ROUND(COUNTIF($B$2:$B$601,B10)/600*60,0)</f>
        <v/>
      </c>
      <c r="P10">
        <f>IF(N10&lt;=O10,1,0)</f>
        <v/>
      </c>
      <c r="Q10">
        <f>IF(OR(C10=4,C10=15,C10=27),1,0)</f>
        <v/>
      </c>
      <c r="R10">
        <f>IF(I10&lt;=60,1,0)</f>
        <v/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40</v>
      </c>
      <c r="F11" t="n">
        <v>0</v>
      </c>
      <c r="G11" t="n">
        <v>125</v>
      </c>
      <c r="H11" t="n">
        <v>0</v>
      </c>
      <c r="I11" t="n">
        <v>405</v>
      </c>
      <c r="J11" t="n">
        <v>0.409122</v>
      </c>
      <c r="K11">
        <f>RANK(J11,$J$2:$J$601,1)</f>
        <v/>
      </c>
      <c r="L11">
        <f>IF(K11&lt;=60,1,0)</f>
        <v/>
      </c>
      <c r="M11">
        <f>IF(MOD(A11-7,10)=0,1,0)</f>
        <v/>
      </c>
      <c r="N11">
        <f>COUNTIFS($B$2:$B$601,B11,$J$2:$J$601,"&lt;"&amp;J11)+1</f>
        <v/>
      </c>
      <c r="O11">
        <f>ROUND(COUNTIF($B$2:$B$601,B11)/600*60,0)</f>
        <v/>
      </c>
      <c r="P11">
        <f>IF(N11&lt;=O11,1,0)</f>
        <v/>
      </c>
      <c r="Q11">
        <f>IF(OR(C11=4,C11=15,C11=27),1,0)</f>
        <v/>
      </c>
      <c r="R11">
        <f>IF(I11&lt;=60,1,0)</f>
        <v/>
      </c>
    </row>
    <row r="12">
      <c r="A12" t="n">
        <v>11</v>
      </c>
      <c r="B12" t="n">
        <v>1</v>
      </c>
      <c r="C12" t="n">
        <v>1</v>
      </c>
      <c r="D12" t="n">
        <v>2</v>
      </c>
      <c r="E12" t="n">
        <v>61</v>
      </c>
      <c r="F12" t="n">
        <v>0</v>
      </c>
      <c r="G12" t="n">
        <v>138</v>
      </c>
      <c r="H12" t="n">
        <v>0</v>
      </c>
      <c r="I12" t="n">
        <v>503</v>
      </c>
      <c r="J12" t="n">
        <v>0.905297</v>
      </c>
      <c r="K12">
        <f>RANK(J12,$J$2:$J$601,1)</f>
        <v/>
      </c>
      <c r="L12">
        <f>IF(K12&lt;=60,1,0)</f>
        <v/>
      </c>
      <c r="M12">
        <f>IF(MOD(A12-7,10)=0,1,0)</f>
        <v/>
      </c>
      <c r="N12">
        <f>COUNTIFS($B$2:$B$601,B12,$J$2:$J$601,"&lt;"&amp;J12)+1</f>
        <v/>
      </c>
      <c r="O12">
        <f>ROUND(COUNTIF($B$2:$B$601,B12)/600*60,0)</f>
        <v/>
      </c>
      <c r="P12">
        <f>IF(N12&lt;=O12,1,0)</f>
        <v/>
      </c>
      <c r="Q12">
        <f>IF(OR(C12=4,C12=15,C12=27),1,0)</f>
        <v/>
      </c>
      <c r="R12">
        <f>IF(I12&lt;=60,1,0)</f>
        <v/>
      </c>
    </row>
    <row r="13">
      <c r="A13" t="n">
        <v>12</v>
      </c>
      <c r="B13" t="n">
        <v>1</v>
      </c>
      <c r="C13" t="n">
        <v>1</v>
      </c>
      <c r="D13" t="n">
        <v>2</v>
      </c>
      <c r="E13" t="n">
        <v>69</v>
      </c>
      <c r="F13" t="n">
        <v>0</v>
      </c>
      <c r="G13" t="n">
        <v>135</v>
      </c>
      <c r="H13" t="n">
        <v>0</v>
      </c>
      <c r="I13" t="n">
        <v>234</v>
      </c>
      <c r="J13" t="n">
        <v>0.736855</v>
      </c>
      <c r="K13">
        <f>RANK(J13,$J$2:$J$601,1)</f>
        <v/>
      </c>
      <c r="L13">
        <f>IF(K13&lt;=60,1,0)</f>
        <v/>
      </c>
      <c r="M13">
        <f>IF(MOD(A13-7,10)=0,1,0)</f>
        <v/>
      </c>
      <c r="N13">
        <f>COUNTIFS($B$2:$B$601,B13,$J$2:$J$601,"&lt;"&amp;J13)+1</f>
        <v/>
      </c>
      <c r="O13">
        <f>ROUND(COUNTIF($B$2:$B$601,B13)/600*60,0)</f>
        <v/>
      </c>
      <c r="P13">
        <f>IF(N13&lt;=O13,1,0)</f>
        <v/>
      </c>
      <c r="Q13">
        <f>IF(OR(C13=4,C13=15,C13=27),1,0)</f>
        <v/>
      </c>
      <c r="R13">
        <f>IF(I13&lt;=60,1,0)</f>
        <v/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51</v>
      </c>
      <c r="F14" t="n">
        <v>0</v>
      </c>
      <c r="G14" t="n">
        <v>114</v>
      </c>
      <c r="H14" t="n">
        <v>0</v>
      </c>
      <c r="I14" t="n">
        <v>590</v>
      </c>
      <c r="J14" t="n">
        <v>0.300326</v>
      </c>
      <c r="K14">
        <f>RANK(J14,$J$2:$J$601,1)</f>
        <v/>
      </c>
      <c r="L14">
        <f>IF(K14&lt;=60,1,0)</f>
        <v/>
      </c>
      <c r="M14">
        <f>IF(MOD(A14-7,10)=0,1,0)</f>
        <v/>
      </c>
      <c r="N14">
        <f>COUNTIFS($B$2:$B$601,B14,$J$2:$J$601,"&lt;"&amp;J14)+1</f>
        <v/>
      </c>
      <c r="O14">
        <f>ROUND(COUNTIF($B$2:$B$601,B14)/600*60,0)</f>
        <v/>
      </c>
      <c r="P14">
        <f>IF(N14&lt;=O14,1,0)</f>
        <v/>
      </c>
      <c r="Q14">
        <f>IF(OR(C14=4,C14=15,C14=27),1,0)</f>
        <v/>
      </c>
      <c r="R14">
        <f>IF(I14&lt;=60,1,0)</f>
        <v/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66</v>
      </c>
      <c r="F15" t="n">
        <v>0</v>
      </c>
      <c r="G15" t="n">
        <v>118</v>
      </c>
      <c r="H15" t="n">
        <v>0</v>
      </c>
      <c r="I15" t="n">
        <v>242</v>
      </c>
      <c r="J15" t="n">
        <v>0.621484</v>
      </c>
      <c r="K15">
        <f>RANK(J15,$J$2:$J$601,1)</f>
        <v/>
      </c>
      <c r="L15">
        <f>IF(K15&lt;=60,1,0)</f>
        <v/>
      </c>
      <c r="M15">
        <f>IF(MOD(A15-7,10)=0,1,0)</f>
        <v/>
      </c>
      <c r="N15">
        <f>COUNTIFS($B$2:$B$601,B15,$J$2:$J$601,"&lt;"&amp;J15)+1</f>
        <v/>
      </c>
      <c r="O15">
        <f>ROUND(COUNTIF($B$2:$B$601,B15)/600*60,0)</f>
        <v/>
      </c>
      <c r="P15">
        <f>IF(N15&lt;=O15,1,0)</f>
        <v/>
      </c>
      <c r="Q15">
        <f>IF(OR(C15=4,C15=15,C15=27),1,0)</f>
        <v/>
      </c>
      <c r="R15">
        <f>IF(I15&lt;=60,1,0)</f>
        <v/>
      </c>
    </row>
    <row r="16">
      <c r="A16" t="n">
        <v>15</v>
      </c>
      <c r="B16" t="n">
        <v>1</v>
      </c>
      <c r="C16" t="n">
        <v>1</v>
      </c>
      <c r="D16" t="n">
        <v>2</v>
      </c>
      <c r="E16" t="n">
        <v>40</v>
      </c>
      <c r="F16" t="n">
        <v>1</v>
      </c>
      <c r="G16" t="n">
        <v>126</v>
      </c>
      <c r="H16" t="n">
        <v>0</v>
      </c>
      <c r="I16" t="n">
        <v>291</v>
      </c>
      <c r="J16" t="n">
        <v>0.415338</v>
      </c>
      <c r="K16">
        <f>RANK(J16,$J$2:$J$601,1)</f>
        <v/>
      </c>
      <c r="L16">
        <f>IF(K16&lt;=60,1,0)</f>
        <v/>
      </c>
      <c r="M16">
        <f>IF(MOD(A16-7,10)=0,1,0)</f>
        <v/>
      </c>
      <c r="N16">
        <f>COUNTIFS($B$2:$B$601,B16,$J$2:$J$601,"&lt;"&amp;J16)+1</f>
        <v/>
      </c>
      <c r="O16">
        <f>ROUND(COUNTIF($B$2:$B$601,B16)/600*60,0)</f>
        <v/>
      </c>
      <c r="P16">
        <f>IF(N16&lt;=O16,1,0)</f>
        <v/>
      </c>
      <c r="Q16">
        <f>IF(OR(C16=4,C16=15,C16=27),1,0)</f>
        <v/>
      </c>
      <c r="R16">
        <f>IF(I16&lt;=60,1,0)</f>
        <v/>
      </c>
    </row>
    <row r="17">
      <c r="A17" t="n">
        <v>16</v>
      </c>
      <c r="B17" t="n">
        <v>1</v>
      </c>
      <c r="C17" t="n">
        <v>1</v>
      </c>
      <c r="D17" t="n">
        <v>2</v>
      </c>
      <c r="E17" t="n">
        <v>59</v>
      </c>
      <c r="F17" t="n">
        <v>0</v>
      </c>
      <c r="G17" t="n">
        <v>138</v>
      </c>
      <c r="H17" t="n">
        <v>0</v>
      </c>
      <c r="I17" t="n">
        <v>193</v>
      </c>
      <c r="J17" t="n">
        <v>0.574493</v>
      </c>
      <c r="K17">
        <f>RANK(J17,$J$2:$J$601,1)</f>
        <v/>
      </c>
      <c r="L17">
        <f>IF(K17&lt;=60,1,0)</f>
        <v/>
      </c>
      <c r="M17">
        <f>IF(MOD(A17-7,10)=0,1,0)</f>
        <v/>
      </c>
      <c r="N17">
        <f>COUNTIFS($B$2:$B$601,B17,$J$2:$J$601,"&lt;"&amp;J17)+1</f>
        <v/>
      </c>
      <c r="O17">
        <f>ROUND(COUNTIF($B$2:$B$601,B17)/600*60,0)</f>
        <v/>
      </c>
      <c r="P17">
        <f>IF(N17&lt;=O17,1,0)</f>
        <v/>
      </c>
      <c r="Q17">
        <f>IF(OR(C17=4,C17=15,C17=27),1,0)</f>
        <v/>
      </c>
      <c r="R17">
        <f>IF(I17&lt;=60,1,0)</f>
        <v/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39</v>
      </c>
      <c r="F18" t="n">
        <v>1</v>
      </c>
      <c r="G18" t="n">
        <v>128</v>
      </c>
      <c r="H18" t="n">
        <v>0</v>
      </c>
      <c r="I18" t="n">
        <v>516</v>
      </c>
      <c r="J18" t="n">
        <v>0.609496</v>
      </c>
      <c r="K18">
        <f>RANK(J18,$J$2:$J$601,1)</f>
        <v/>
      </c>
      <c r="L18">
        <f>IF(K18&lt;=60,1,0)</f>
        <v/>
      </c>
      <c r="M18">
        <f>IF(MOD(A18-7,10)=0,1,0)</f>
        <v/>
      </c>
      <c r="N18">
        <f>COUNTIFS($B$2:$B$601,B18,$J$2:$J$601,"&lt;"&amp;J18)+1</f>
        <v/>
      </c>
      <c r="O18">
        <f>ROUND(COUNTIF($B$2:$B$601,B18)/600*60,0)</f>
        <v/>
      </c>
      <c r="P18">
        <f>IF(N18&lt;=O18,1,0)</f>
        <v/>
      </c>
      <c r="Q18">
        <f>IF(OR(C18=4,C18=15,C18=27),1,0)</f>
        <v/>
      </c>
      <c r="R18">
        <f>IF(I18&lt;=60,1,0)</f>
        <v/>
      </c>
    </row>
    <row r="19">
      <c r="A19" t="n">
        <v>18</v>
      </c>
      <c r="B19" t="n">
        <v>1</v>
      </c>
      <c r="C19" t="n">
        <v>1</v>
      </c>
      <c r="D19" t="n">
        <v>2</v>
      </c>
      <c r="E19" t="n">
        <v>56</v>
      </c>
      <c r="F19" t="n">
        <v>0</v>
      </c>
      <c r="G19" t="n">
        <v>131</v>
      </c>
      <c r="H19" t="n">
        <v>0</v>
      </c>
      <c r="I19" t="n">
        <v>542</v>
      </c>
      <c r="J19" t="n">
        <v>0.174765</v>
      </c>
      <c r="K19">
        <f>RANK(J19,$J$2:$J$601,1)</f>
        <v/>
      </c>
      <c r="L19">
        <f>IF(K19&lt;=60,1,0)</f>
        <v/>
      </c>
      <c r="M19">
        <f>IF(MOD(A19-7,10)=0,1,0)</f>
        <v/>
      </c>
      <c r="N19">
        <f>COUNTIFS($B$2:$B$601,B19,$J$2:$J$601,"&lt;"&amp;J19)+1</f>
        <v/>
      </c>
      <c r="O19">
        <f>ROUND(COUNTIF($B$2:$B$601,B19)/600*60,0)</f>
        <v/>
      </c>
      <c r="P19">
        <f>IF(N19&lt;=O19,1,0)</f>
        <v/>
      </c>
      <c r="Q19">
        <f>IF(OR(C19=4,C19=15,C19=27),1,0)</f>
        <v/>
      </c>
      <c r="R19">
        <f>IF(I19&lt;=60,1,0)</f>
        <v/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40</v>
      </c>
      <c r="F20" t="n">
        <v>0</v>
      </c>
      <c r="G20" t="n">
        <v>103</v>
      </c>
      <c r="H20" t="n">
        <v>0</v>
      </c>
      <c r="I20" t="n">
        <v>236</v>
      </c>
      <c r="J20" t="n">
        <v>0.165548</v>
      </c>
      <c r="K20">
        <f>RANK(J20,$J$2:$J$601,1)</f>
        <v/>
      </c>
      <c r="L20">
        <f>IF(K20&lt;=60,1,0)</f>
        <v/>
      </c>
      <c r="M20">
        <f>IF(MOD(A20-7,10)=0,1,0)</f>
        <v/>
      </c>
      <c r="N20">
        <f>COUNTIFS($B$2:$B$601,B20,$J$2:$J$601,"&lt;"&amp;J20)+1</f>
        <v/>
      </c>
      <c r="O20">
        <f>ROUND(COUNTIF($B$2:$B$601,B20)/600*60,0)</f>
        <v/>
      </c>
      <c r="P20">
        <f>IF(N20&lt;=O20,1,0)</f>
        <v/>
      </c>
      <c r="Q20">
        <f>IF(OR(C20=4,C20=15,C20=27),1,0)</f>
        <v/>
      </c>
      <c r="R20">
        <f>IF(I20&lt;=60,1,0)</f>
        <v/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80</v>
      </c>
      <c r="F21" t="n">
        <v>0</v>
      </c>
      <c r="G21" t="n">
        <v>144</v>
      </c>
      <c r="H21" t="n">
        <v>1</v>
      </c>
      <c r="I21" t="n">
        <v>112</v>
      </c>
      <c r="J21" t="n">
        <v>0.673679</v>
      </c>
      <c r="K21">
        <f>RANK(J21,$J$2:$J$601,1)</f>
        <v/>
      </c>
      <c r="L21">
        <f>IF(K21&lt;=60,1,0)</f>
        <v/>
      </c>
      <c r="M21">
        <f>IF(MOD(A21-7,10)=0,1,0)</f>
        <v/>
      </c>
      <c r="N21">
        <f>COUNTIFS($B$2:$B$601,B21,$J$2:$J$601,"&lt;"&amp;J21)+1</f>
        <v/>
      </c>
      <c r="O21">
        <f>ROUND(COUNTIF($B$2:$B$601,B21)/600*60,0)</f>
        <v/>
      </c>
      <c r="P21">
        <f>IF(N21&lt;=O21,1,0)</f>
        <v/>
      </c>
      <c r="Q21">
        <f>IF(OR(C21=4,C21=15,C21=27),1,0)</f>
        <v/>
      </c>
      <c r="R21">
        <f>IF(I21&lt;=60,1,0)</f>
        <v/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39</v>
      </c>
      <c r="F22" t="n">
        <v>0</v>
      </c>
      <c r="G22" t="n">
        <v>132</v>
      </c>
      <c r="H22" t="n">
        <v>0</v>
      </c>
      <c r="I22" t="n">
        <v>559</v>
      </c>
      <c r="J22" t="n">
        <v>0.8011819999999999</v>
      </c>
      <c r="K22">
        <f>RANK(J22,$J$2:$J$601,1)</f>
        <v/>
      </c>
      <c r="L22">
        <f>IF(K22&lt;=60,1,0)</f>
        <v/>
      </c>
      <c r="M22">
        <f>IF(MOD(A22-7,10)=0,1,0)</f>
        <v/>
      </c>
      <c r="N22">
        <f>COUNTIFS($B$2:$B$601,B22,$J$2:$J$601,"&lt;"&amp;J22)+1</f>
        <v/>
      </c>
      <c r="O22">
        <f>ROUND(COUNTIF($B$2:$B$601,B22)/600*60,0)</f>
        <v/>
      </c>
      <c r="P22">
        <f>IF(N22&lt;=O22,1,0)</f>
        <v/>
      </c>
      <c r="Q22">
        <f>IF(OR(C22=4,C22=15,C22=27),1,0)</f>
        <v/>
      </c>
      <c r="R22">
        <f>IF(I22&lt;=60,1,0)</f>
        <v/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36</v>
      </c>
      <c r="F23" t="n">
        <v>0</v>
      </c>
      <c r="G23" t="n">
        <v>117</v>
      </c>
      <c r="H23" t="n">
        <v>0</v>
      </c>
      <c r="I23" t="n">
        <v>510</v>
      </c>
      <c r="J23" t="n">
        <v>0.134982</v>
      </c>
      <c r="K23">
        <f>RANK(J23,$J$2:$J$601,1)</f>
        <v/>
      </c>
      <c r="L23">
        <f>IF(K23&lt;=60,1,0)</f>
        <v/>
      </c>
      <c r="M23">
        <f>IF(MOD(A23-7,10)=0,1,0)</f>
        <v/>
      </c>
      <c r="N23">
        <f>COUNTIFS($B$2:$B$601,B23,$J$2:$J$601,"&lt;"&amp;J23)+1</f>
        <v/>
      </c>
      <c r="O23">
        <f>ROUND(COUNTIF($B$2:$B$601,B23)/600*60,0)</f>
        <v/>
      </c>
      <c r="P23">
        <f>IF(N23&lt;=O23,1,0)</f>
        <v/>
      </c>
      <c r="Q23">
        <f>IF(OR(C23=4,C23=15,C23=27),1,0)</f>
        <v/>
      </c>
      <c r="R23">
        <f>IF(I23&lt;=60,1,0)</f>
        <v/>
      </c>
    </row>
    <row r="24">
      <c r="A24" t="n">
        <v>23</v>
      </c>
      <c r="B24" t="n">
        <v>1</v>
      </c>
      <c r="C24" t="n">
        <v>2</v>
      </c>
      <c r="D24" t="n">
        <v>2</v>
      </c>
      <c r="E24" t="n">
        <v>77</v>
      </c>
      <c r="F24" t="n">
        <v>0</v>
      </c>
      <c r="G24" t="n">
        <v>145</v>
      </c>
      <c r="H24" t="n">
        <v>1</v>
      </c>
      <c r="I24" t="n">
        <v>27</v>
      </c>
      <c r="J24" t="n">
        <v>0.560452</v>
      </c>
      <c r="K24">
        <f>RANK(J24,$J$2:$J$601,1)</f>
        <v/>
      </c>
      <c r="L24">
        <f>IF(K24&lt;=60,1,0)</f>
        <v/>
      </c>
      <c r="M24">
        <f>IF(MOD(A24-7,10)=0,1,0)</f>
        <v/>
      </c>
      <c r="N24">
        <f>COUNTIFS($B$2:$B$601,B24,$J$2:$J$601,"&lt;"&amp;J24)+1</f>
        <v/>
      </c>
      <c r="O24">
        <f>ROUND(COUNTIF($B$2:$B$601,B24)/600*60,0)</f>
        <v/>
      </c>
      <c r="P24">
        <f>IF(N24&lt;=O24,1,0)</f>
        <v/>
      </c>
      <c r="Q24">
        <f>IF(OR(C24=4,C24=15,C24=27),1,0)</f>
        <v/>
      </c>
      <c r="R24">
        <f>IF(I24&lt;=60,1,0)</f>
        <v/>
      </c>
    </row>
    <row r="25">
      <c r="A25" t="n">
        <v>24</v>
      </c>
      <c r="B25" t="n">
        <v>1</v>
      </c>
      <c r="C25" t="n">
        <v>2</v>
      </c>
      <c r="D25" t="n">
        <v>2</v>
      </c>
      <c r="E25" t="n">
        <v>65</v>
      </c>
      <c r="F25" t="n">
        <v>0</v>
      </c>
      <c r="G25" t="n">
        <v>120</v>
      </c>
      <c r="H25" t="n">
        <v>0</v>
      </c>
      <c r="I25" t="n">
        <v>458</v>
      </c>
      <c r="J25" t="n">
        <v>0.178899</v>
      </c>
      <c r="K25">
        <f>RANK(J25,$J$2:$J$601,1)</f>
        <v/>
      </c>
      <c r="L25">
        <f>IF(K25&lt;=60,1,0)</f>
        <v/>
      </c>
      <c r="M25">
        <f>IF(MOD(A25-7,10)=0,1,0)</f>
        <v/>
      </c>
      <c r="N25">
        <f>COUNTIFS($B$2:$B$601,B25,$J$2:$J$601,"&lt;"&amp;J25)+1</f>
        <v/>
      </c>
      <c r="O25">
        <f>ROUND(COUNTIF($B$2:$B$601,B25)/600*60,0)</f>
        <v/>
      </c>
      <c r="P25">
        <f>IF(N25&lt;=O25,1,0)</f>
        <v/>
      </c>
      <c r="Q25">
        <f>IF(OR(C25=4,C25=15,C25=27),1,0)</f>
        <v/>
      </c>
      <c r="R25">
        <f>IF(I25&lt;=60,1,0)</f>
        <v/>
      </c>
    </row>
    <row r="26">
      <c r="A26" t="n">
        <v>25</v>
      </c>
      <c r="B26" t="n">
        <v>1</v>
      </c>
      <c r="C26" t="n">
        <v>2</v>
      </c>
      <c r="D26" t="n">
        <v>2</v>
      </c>
      <c r="E26" t="n">
        <v>69</v>
      </c>
      <c r="F26" t="n">
        <v>0</v>
      </c>
      <c r="G26" t="n">
        <v>132</v>
      </c>
      <c r="H26" t="n">
        <v>0</v>
      </c>
      <c r="I26" t="n">
        <v>425</v>
      </c>
      <c r="J26" t="n">
        <v>0.311848</v>
      </c>
      <c r="K26">
        <f>RANK(J26,$J$2:$J$601,1)</f>
        <v/>
      </c>
      <c r="L26">
        <f>IF(K26&lt;=60,1,0)</f>
        <v/>
      </c>
      <c r="M26">
        <f>IF(MOD(A26-7,10)=0,1,0)</f>
        <v/>
      </c>
      <c r="N26">
        <f>COUNTIFS($B$2:$B$601,B26,$J$2:$J$601,"&lt;"&amp;J26)+1</f>
        <v/>
      </c>
      <c r="O26">
        <f>ROUND(COUNTIF($B$2:$B$601,B26)/600*60,0)</f>
        <v/>
      </c>
      <c r="P26">
        <f>IF(N26&lt;=O26,1,0)</f>
        <v/>
      </c>
      <c r="Q26">
        <f>IF(OR(C26=4,C26=15,C26=27),1,0)</f>
        <v/>
      </c>
      <c r="R26">
        <f>IF(I26&lt;=60,1,0)</f>
        <v/>
      </c>
    </row>
    <row r="27">
      <c r="A27" t="n">
        <v>26</v>
      </c>
      <c r="B27" t="n">
        <v>1</v>
      </c>
      <c r="C27" t="n">
        <v>2</v>
      </c>
      <c r="D27" t="n">
        <v>2</v>
      </c>
      <c r="E27" t="n">
        <v>73</v>
      </c>
      <c r="F27" t="n">
        <v>0</v>
      </c>
      <c r="G27" t="n">
        <v>152</v>
      </c>
      <c r="H27" t="n">
        <v>1</v>
      </c>
      <c r="I27" t="n">
        <v>161</v>
      </c>
      <c r="J27" t="n">
        <v>0.945532</v>
      </c>
      <c r="K27">
        <f>RANK(J27,$J$2:$J$601,1)</f>
        <v/>
      </c>
      <c r="L27">
        <f>IF(K27&lt;=60,1,0)</f>
        <v/>
      </c>
      <c r="M27">
        <f>IF(MOD(A27-7,10)=0,1,0)</f>
        <v/>
      </c>
      <c r="N27">
        <f>COUNTIFS($B$2:$B$601,B27,$J$2:$J$601,"&lt;"&amp;J27)+1</f>
        <v/>
      </c>
      <c r="O27">
        <f>ROUND(COUNTIF($B$2:$B$601,B27)/600*60,0)</f>
        <v/>
      </c>
      <c r="P27">
        <f>IF(N27&lt;=O27,1,0)</f>
        <v/>
      </c>
      <c r="Q27">
        <f>IF(OR(C27=4,C27=15,C27=27),1,0)</f>
        <v/>
      </c>
      <c r="R27">
        <f>IF(I27&lt;=60,1,0)</f>
        <v/>
      </c>
    </row>
    <row r="28">
      <c r="A28" t="n">
        <v>27</v>
      </c>
      <c r="B28" t="n">
        <v>1</v>
      </c>
      <c r="C28" t="n">
        <v>2</v>
      </c>
      <c r="D28" t="n">
        <v>2</v>
      </c>
      <c r="E28" t="n">
        <v>77</v>
      </c>
      <c r="F28" t="n">
        <v>1</v>
      </c>
      <c r="G28" t="n">
        <v>159</v>
      </c>
      <c r="H28" t="n">
        <v>1</v>
      </c>
      <c r="I28" t="n">
        <v>94</v>
      </c>
      <c r="J28" t="n">
        <v>0.853449</v>
      </c>
      <c r="K28">
        <f>RANK(J28,$J$2:$J$601,1)</f>
        <v/>
      </c>
      <c r="L28">
        <f>IF(K28&lt;=60,1,0)</f>
        <v/>
      </c>
      <c r="M28">
        <f>IF(MOD(A28-7,10)=0,1,0)</f>
        <v/>
      </c>
      <c r="N28">
        <f>COUNTIFS($B$2:$B$601,B28,$J$2:$J$601,"&lt;"&amp;J28)+1</f>
        <v/>
      </c>
      <c r="O28">
        <f>ROUND(COUNTIF($B$2:$B$601,B28)/600*60,0)</f>
        <v/>
      </c>
      <c r="P28">
        <f>IF(N28&lt;=O28,1,0)</f>
        <v/>
      </c>
      <c r="Q28">
        <f>IF(OR(C28=4,C28=15,C28=27),1,0)</f>
        <v/>
      </c>
      <c r="R28">
        <f>IF(I28&lt;=60,1,0)</f>
        <v/>
      </c>
    </row>
    <row r="29">
      <c r="A29" t="n">
        <v>28</v>
      </c>
      <c r="B29" t="n">
        <v>1</v>
      </c>
      <c r="C29" t="n">
        <v>2</v>
      </c>
      <c r="D29" t="n">
        <v>2</v>
      </c>
      <c r="E29" t="n">
        <v>70</v>
      </c>
      <c r="F29" t="n">
        <v>1</v>
      </c>
      <c r="G29" t="n">
        <v>147</v>
      </c>
      <c r="H29" t="n">
        <v>1</v>
      </c>
      <c r="I29" t="n">
        <v>92</v>
      </c>
      <c r="J29" t="n">
        <v>0.879376</v>
      </c>
      <c r="K29">
        <f>RANK(J29,$J$2:$J$601,1)</f>
        <v/>
      </c>
      <c r="L29">
        <f>IF(K29&lt;=60,1,0)</f>
        <v/>
      </c>
      <c r="M29">
        <f>IF(MOD(A29-7,10)=0,1,0)</f>
        <v/>
      </c>
      <c r="N29">
        <f>COUNTIFS($B$2:$B$601,B29,$J$2:$J$601,"&lt;"&amp;J29)+1</f>
        <v/>
      </c>
      <c r="O29">
        <f>ROUND(COUNTIF($B$2:$B$601,B29)/600*60,0)</f>
        <v/>
      </c>
      <c r="P29">
        <f>IF(N29&lt;=O29,1,0)</f>
        <v/>
      </c>
      <c r="Q29">
        <f>IF(OR(C29=4,C29=15,C29=27),1,0)</f>
        <v/>
      </c>
      <c r="R29">
        <f>IF(I29&lt;=60,1,0)</f>
        <v/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70</v>
      </c>
      <c r="F30" t="n">
        <v>0</v>
      </c>
      <c r="G30" t="n">
        <v>120</v>
      </c>
      <c r="H30" t="n">
        <v>0</v>
      </c>
      <c r="I30" t="n">
        <v>62</v>
      </c>
      <c r="J30" t="n">
        <v>0.654262</v>
      </c>
      <c r="K30">
        <f>RANK(J30,$J$2:$J$601,1)</f>
        <v/>
      </c>
      <c r="L30">
        <f>IF(K30&lt;=60,1,0)</f>
        <v/>
      </c>
      <c r="M30">
        <f>IF(MOD(A30-7,10)=0,1,0)</f>
        <v/>
      </c>
      <c r="N30">
        <f>COUNTIFS($B$2:$B$601,B30,$J$2:$J$601,"&lt;"&amp;J30)+1</f>
        <v/>
      </c>
      <c r="O30">
        <f>ROUND(COUNTIF($B$2:$B$601,B30)/600*60,0)</f>
        <v/>
      </c>
      <c r="P30">
        <f>IF(N30&lt;=O30,1,0)</f>
        <v/>
      </c>
      <c r="Q30">
        <f>IF(OR(C30=4,C30=15,C30=27),1,0)</f>
        <v/>
      </c>
      <c r="R30">
        <f>IF(I30&lt;=60,1,0)</f>
        <v/>
      </c>
    </row>
    <row r="31">
      <c r="A31" t="n">
        <v>30</v>
      </c>
      <c r="B31" t="n">
        <v>1</v>
      </c>
      <c r="C31" t="n">
        <v>2</v>
      </c>
      <c r="D31" t="n">
        <v>2</v>
      </c>
      <c r="E31" t="n">
        <v>43</v>
      </c>
      <c r="F31" t="n">
        <v>0</v>
      </c>
      <c r="G31" t="n">
        <v>122</v>
      </c>
      <c r="H31" t="n">
        <v>0</v>
      </c>
      <c r="I31" t="n">
        <v>548</v>
      </c>
      <c r="J31" t="n">
        <v>0.329255</v>
      </c>
      <c r="K31">
        <f>RANK(J31,$J$2:$J$601,1)</f>
        <v/>
      </c>
      <c r="L31">
        <f>IF(K31&lt;=60,1,0)</f>
        <v/>
      </c>
      <c r="M31">
        <f>IF(MOD(A31-7,10)=0,1,0)</f>
        <v/>
      </c>
      <c r="N31">
        <f>COUNTIFS($B$2:$B$601,B31,$J$2:$J$601,"&lt;"&amp;J31)+1</f>
        <v/>
      </c>
      <c r="O31">
        <f>ROUND(COUNTIF($B$2:$B$601,B31)/600*60,0)</f>
        <v/>
      </c>
      <c r="P31">
        <f>IF(N31&lt;=O31,1,0)</f>
        <v/>
      </c>
      <c r="Q31">
        <f>IF(OR(C31=4,C31=15,C31=27),1,0)</f>
        <v/>
      </c>
      <c r="R31">
        <f>IF(I31&lt;=60,1,0)</f>
        <v/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77</v>
      </c>
      <c r="F32" t="n">
        <v>0</v>
      </c>
      <c r="G32" t="n">
        <v>157</v>
      </c>
      <c r="H32" t="n">
        <v>1</v>
      </c>
      <c r="I32" t="n">
        <v>106</v>
      </c>
      <c r="J32" t="n">
        <v>0.494775</v>
      </c>
      <c r="K32">
        <f>RANK(J32,$J$2:$J$601,1)</f>
        <v/>
      </c>
      <c r="L32">
        <f>IF(K32&lt;=60,1,0)</f>
        <v/>
      </c>
      <c r="M32">
        <f>IF(MOD(A32-7,10)=0,1,0)</f>
        <v/>
      </c>
      <c r="N32">
        <f>COUNTIFS($B$2:$B$601,B32,$J$2:$J$601,"&lt;"&amp;J32)+1</f>
        <v/>
      </c>
      <c r="O32">
        <f>ROUND(COUNTIF($B$2:$B$601,B32)/600*60,0)</f>
        <v/>
      </c>
      <c r="P32">
        <f>IF(N32&lt;=O32,1,0)</f>
        <v/>
      </c>
      <c r="Q32">
        <f>IF(OR(C32=4,C32=15,C32=27),1,0)</f>
        <v/>
      </c>
      <c r="R32">
        <f>IF(I32&lt;=60,1,0)</f>
        <v/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36</v>
      </c>
      <c r="F33" t="n">
        <v>0</v>
      </c>
      <c r="G33" t="n">
        <v>118</v>
      </c>
      <c r="H33" t="n">
        <v>0</v>
      </c>
      <c r="I33" t="n">
        <v>297</v>
      </c>
      <c r="J33" t="n">
        <v>0.322134</v>
      </c>
      <c r="K33">
        <f>RANK(J33,$J$2:$J$601,1)</f>
        <v/>
      </c>
      <c r="L33">
        <f>IF(K33&lt;=60,1,0)</f>
        <v/>
      </c>
      <c r="M33">
        <f>IF(MOD(A33-7,10)=0,1,0)</f>
        <v/>
      </c>
      <c r="N33">
        <f>COUNTIFS($B$2:$B$601,B33,$J$2:$J$601,"&lt;"&amp;J33)+1</f>
        <v/>
      </c>
      <c r="O33">
        <f>ROUND(COUNTIF($B$2:$B$601,B33)/600*60,0)</f>
        <v/>
      </c>
      <c r="P33">
        <f>IF(N33&lt;=O33,1,0)</f>
        <v/>
      </c>
      <c r="Q33">
        <f>IF(OR(C33=4,C33=15,C33=27),1,0)</f>
        <v/>
      </c>
      <c r="R33">
        <f>IF(I33&lt;=60,1,0)</f>
        <v/>
      </c>
    </row>
    <row r="34">
      <c r="A34" t="n">
        <v>33</v>
      </c>
      <c r="B34" t="n">
        <v>1</v>
      </c>
      <c r="C34" t="n">
        <v>2</v>
      </c>
      <c r="D34" t="n">
        <v>2</v>
      </c>
      <c r="E34" t="n">
        <v>46</v>
      </c>
      <c r="F34" t="n">
        <v>0</v>
      </c>
      <c r="G34" t="n">
        <v>128</v>
      </c>
      <c r="H34" t="n">
        <v>0</v>
      </c>
      <c r="I34" t="n">
        <v>448</v>
      </c>
      <c r="J34" t="n">
        <v>0.133069</v>
      </c>
      <c r="K34">
        <f>RANK(J34,$J$2:$J$601,1)</f>
        <v/>
      </c>
      <c r="L34">
        <f>IF(K34&lt;=60,1,0)</f>
        <v/>
      </c>
      <c r="M34">
        <f>IF(MOD(A34-7,10)=0,1,0)</f>
        <v/>
      </c>
      <c r="N34">
        <f>COUNTIFS($B$2:$B$601,B34,$J$2:$J$601,"&lt;"&amp;J34)+1</f>
        <v/>
      </c>
      <c r="O34">
        <f>ROUND(COUNTIF($B$2:$B$601,B34)/600*60,0)</f>
        <v/>
      </c>
      <c r="P34">
        <f>IF(N34&lt;=O34,1,0)</f>
        <v/>
      </c>
      <c r="Q34">
        <f>IF(OR(C34=4,C34=15,C34=27),1,0)</f>
        <v/>
      </c>
      <c r="R34">
        <f>IF(I34&lt;=60,1,0)</f>
        <v/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47</v>
      </c>
      <c r="F35" t="n">
        <v>0</v>
      </c>
      <c r="G35" t="n">
        <v>132</v>
      </c>
      <c r="H35" t="n">
        <v>0</v>
      </c>
      <c r="I35" t="n">
        <v>456</v>
      </c>
      <c r="J35" t="n">
        <v>0.616797</v>
      </c>
      <c r="K35">
        <f>RANK(J35,$J$2:$J$601,1)</f>
        <v/>
      </c>
      <c r="L35">
        <f>IF(K35&lt;=60,1,0)</f>
        <v/>
      </c>
      <c r="M35">
        <f>IF(MOD(A35-7,10)=0,1,0)</f>
        <v/>
      </c>
      <c r="N35">
        <f>COUNTIFS($B$2:$B$601,B35,$J$2:$J$601,"&lt;"&amp;J35)+1</f>
        <v/>
      </c>
      <c r="O35">
        <f>ROUND(COUNTIF($B$2:$B$601,B35)/600*60,0)</f>
        <v/>
      </c>
      <c r="P35">
        <f>IF(N35&lt;=O35,1,0)</f>
        <v/>
      </c>
      <c r="Q35">
        <f>IF(OR(C35=4,C35=15,C35=27),1,0)</f>
        <v/>
      </c>
      <c r="R35">
        <f>IF(I35&lt;=60,1,0)</f>
        <v/>
      </c>
    </row>
    <row r="36">
      <c r="A36" t="n">
        <v>35</v>
      </c>
      <c r="B36" t="n">
        <v>1</v>
      </c>
      <c r="C36" t="n">
        <v>2</v>
      </c>
      <c r="D36" t="n">
        <v>2</v>
      </c>
      <c r="E36" t="n">
        <v>38</v>
      </c>
      <c r="F36" t="n">
        <v>0</v>
      </c>
      <c r="G36" t="n">
        <v>124</v>
      </c>
      <c r="H36" t="n">
        <v>0</v>
      </c>
      <c r="I36" t="n">
        <v>418</v>
      </c>
      <c r="J36" t="n">
        <v>0.399035</v>
      </c>
      <c r="K36">
        <f>RANK(J36,$J$2:$J$601,1)</f>
        <v/>
      </c>
      <c r="L36">
        <f>IF(K36&lt;=60,1,0)</f>
        <v/>
      </c>
      <c r="M36">
        <f>IF(MOD(A36-7,10)=0,1,0)</f>
        <v/>
      </c>
      <c r="N36">
        <f>COUNTIFS($B$2:$B$601,B36,$J$2:$J$601,"&lt;"&amp;J36)+1</f>
        <v/>
      </c>
      <c r="O36">
        <f>ROUND(COUNTIF($B$2:$B$601,B36)/600*60,0)</f>
        <v/>
      </c>
      <c r="P36">
        <f>IF(N36&lt;=O36,1,0)</f>
        <v/>
      </c>
      <c r="Q36">
        <f>IF(OR(C36=4,C36=15,C36=27),1,0)</f>
        <v/>
      </c>
      <c r="R36">
        <f>IF(I36&lt;=60,1,0)</f>
        <v/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80</v>
      </c>
      <c r="F37" t="n">
        <v>0</v>
      </c>
      <c r="G37" t="n">
        <v>121</v>
      </c>
      <c r="H37" t="n">
        <v>0</v>
      </c>
      <c r="I37" t="n">
        <v>259</v>
      </c>
      <c r="J37" t="n">
        <v>0.448104</v>
      </c>
      <c r="K37">
        <f>RANK(J37,$J$2:$J$601,1)</f>
        <v/>
      </c>
      <c r="L37">
        <f>IF(K37&lt;=60,1,0)</f>
        <v/>
      </c>
      <c r="M37">
        <f>IF(MOD(A37-7,10)=0,1,0)</f>
        <v/>
      </c>
      <c r="N37">
        <f>COUNTIFS($B$2:$B$601,B37,$J$2:$J$601,"&lt;"&amp;J37)+1</f>
        <v/>
      </c>
      <c r="O37">
        <f>ROUND(COUNTIF($B$2:$B$601,B37)/600*60,0)</f>
        <v/>
      </c>
      <c r="P37">
        <f>IF(N37&lt;=O37,1,0)</f>
        <v/>
      </c>
      <c r="Q37">
        <f>IF(OR(C37=4,C37=15,C37=27),1,0)</f>
        <v/>
      </c>
      <c r="R37">
        <f>IF(I37&lt;=60,1,0)</f>
        <v/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63</v>
      </c>
      <c r="F38" t="n">
        <v>0</v>
      </c>
      <c r="G38" t="n">
        <v>150</v>
      </c>
      <c r="H38" t="n">
        <v>1</v>
      </c>
      <c r="I38" t="n">
        <v>155</v>
      </c>
      <c r="J38" t="n">
        <v>0.423286</v>
      </c>
      <c r="K38">
        <f>RANK(J38,$J$2:$J$601,1)</f>
        <v/>
      </c>
      <c r="L38">
        <f>IF(K38&lt;=60,1,0)</f>
        <v/>
      </c>
      <c r="M38">
        <f>IF(MOD(A38-7,10)=0,1,0)</f>
        <v/>
      </c>
      <c r="N38">
        <f>COUNTIFS($B$2:$B$601,B38,$J$2:$J$601,"&lt;"&amp;J38)+1</f>
        <v/>
      </c>
      <c r="O38">
        <f>ROUND(COUNTIF($B$2:$B$601,B38)/600*60,0)</f>
        <v/>
      </c>
      <c r="P38">
        <f>IF(N38&lt;=O38,1,0)</f>
        <v/>
      </c>
      <c r="Q38">
        <f>IF(OR(C38=4,C38=15,C38=27),1,0)</f>
        <v/>
      </c>
      <c r="R38">
        <f>IF(I38&lt;=60,1,0)</f>
        <v/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52</v>
      </c>
      <c r="F39" t="n">
        <v>0</v>
      </c>
      <c r="G39" t="n">
        <v>119</v>
      </c>
      <c r="H39" t="n">
        <v>0</v>
      </c>
      <c r="I39" t="n">
        <v>265</v>
      </c>
      <c r="J39" t="n">
        <v>0.295162</v>
      </c>
      <c r="K39">
        <f>RANK(J39,$J$2:$J$601,1)</f>
        <v/>
      </c>
      <c r="L39">
        <f>IF(K39&lt;=60,1,0)</f>
        <v/>
      </c>
      <c r="M39">
        <f>IF(MOD(A39-7,10)=0,1,0)</f>
        <v/>
      </c>
      <c r="N39">
        <f>COUNTIFS($B$2:$B$601,B39,$J$2:$J$601,"&lt;"&amp;J39)+1</f>
        <v/>
      </c>
      <c r="O39">
        <f>ROUND(COUNTIF($B$2:$B$601,B39)/600*60,0)</f>
        <v/>
      </c>
      <c r="P39">
        <f>IF(N39&lt;=O39,1,0)</f>
        <v/>
      </c>
      <c r="Q39">
        <f>IF(OR(C39=4,C39=15,C39=27),1,0)</f>
        <v/>
      </c>
      <c r="R39">
        <f>IF(I39&lt;=60,1,0)</f>
        <v/>
      </c>
    </row>
    <row r="40">
      <c r="A40" t="n">
        <v>39</v>
      </c>
      <c r="B40" t="n">
        <v>1</v>
      </c>
      <c r="C40" t="n">
        <v>2</v>
      </c>
      <c r="D40" t="n">
        <v>2</v>
      </c>
      <c r="E40" t="n">
        <v>58</v>
      </c>
      <c r="F40" t="n">
        <v>0</v>
      </c>
      <c r="G40" t="n">
        <v>153</v>
      </c>
      <c r="H40" t="n">
        <v>1</v>
      </c>
      <c r="I40" t="n">
        <v>288</v>
      </c>
      <c r="J40" t="n">
        <v>0.13291</v>
      </c>
      <c r="K40">
        <f>RANK(J40,$J$2:$J$601,1)</f>
        <v/>
      </c>
      <c r="L40">
        <f>IF(K40&lt;=60,1,0)</f>
        <v/>
      </c>
      <c r="M40">
        <f>IF(MOD(A40-7,10)=0,1,0)</f>
        <v/>
      </c>
      <c r="N40">
        <f>COUNTIFS($B$2:$B$601,B40,$J$2:$J$601,"&lt;"&amp;J40)+1</f>
        <v/>
      </c>
      <c r="O40">
        <f>ROUND(COUNTIF($B$2:$B$601,B40)/600*60,0)</f>
        <v/>
      </c>
      <c r="P40">
        <f>IF(N40&lt;=O40,1,0)</f>
        <v/>
      </c>
      <c r="Q40">
        <f>IF(OR(C40=4,C40=15,C40=27),1,0)</f>
        <v/>
      </c>
      <c r="R40">
        <f>IF(I40&lt;=60,1,0)</f>
        <v/>
      </c>
    </row>
    <row r="41">
      <c r="A41" t="n">
        <v>40</v>
      </c>
      <c r="B41" t="n">
        <v>1</v>
      </c>
      <c r="C41" t="n">
        <v>2</v>
      </c>
      <c r="D41" t="n">
        <v>2</v>
      </c>
      <c r="E41" t="n">
        <v>36</v>
      </c>
      <c r="F41" t="n">
        <v>0</v>
      </c>
      <c r="G41" t="n">
        <v>138</v>
      </c>
      <c r="H41" t="n">
        <v>0</v>
      </c>
      <c r="I41" t="n">
        <v>377</v>
      </c>
      <c r="J41" t="n">
        <v>0.950811</v>
      </c>
      <c r="K41">
        <f>RANK(J41,$J$2:$J$601,1)</f>
        <v/>
      </c>
      <c r="L41">
        <f>IF(K41&lt;=60,1,0)</f>
        <v/>
      </c>
      <c r="M41">
        <f>IF(MOD(A41-7,10)=0,1,0)</f>
        <v/>
      </c>
      <c r="N41">
        <f>COUNTIFS($B$2:$B$601,B41,$J$2:$J$601,"&lt;"&amp;J41)+1</f>
        <v/>
      </c>
      <c r="O41">
        <f>ROUND(COUNTIF($B$2:$B$601,B41)/600*60,0)</f>
        <v/>
      </c>
      <c r="P41">
        <f>IF(N41&lt;=O41,1,0)</f>
        <v/>
      </c>
      <c r="Q41">
        <f>IF(OR(C41=4,C41=15,C41=27),1,0)</f>
        <v/>
      </c>
      <c r="R41">
        <f>IF(I41&lt;=60,1,0)</f>
        <v/>
      </c>
    </row>
    <row r="42">
      <c r="A42" t="n">
        <v>41</v>
      </c>
      <c r="B42" t="n">
        <v>1</v>
      </c>
      <c r="C42" t="n">
        <v>3</v>
      </c>
      <c r="D42" t="n">
        <v>1</v>
      </c>
      <c r="E42" t="n">
        <v>46</v>
      </c>
      <c r="F42" t="n">
        <v>1</v>
      </c>
      <c r="G42" t="n">
        <v>118</v>
      </c>
      <c r="H42" t="n">
        <v>0</v>
      </c>
      <c r="I42" t="n">
        <v>530</v>
      </c>
      <c r="J42" t="n">
        <v>0.08486100000000001</v>
      </c>
      <c r="K42">
        <f>RANK(J42,$J$2:$J$601,1)</f>
        <v/>
      </c>
      <c r="L42">
        <f>IF(K42&lt;=60,1,0)</f>
        <v/>
      </c>
      <c r="M42">
        <f>IF(MOD(A42-7,10)=0,1,0)</f>
        <v/>
      </c>
      <c r="N42">
        <f>COUNTIFS($B$2:$B$601,B42,$J$2:$J$601,"&lt;"&amp;J42)+1</f>
        <v/>
      </c>
      <c r="O42">
        <f>ROUND(COUNTIF($B$2:$B$601,B42)/600*60,0)</f>
        <v/>
      </c>
      <c r="P42">
        <f>IF(N42&lt;=O42,1,0)</f>
        <v/>
      </c>
      <c r="Q42">
        <f>IF(OR(C42=4,C42=15,C42=27),1,0)</f>
        <v/>
      </c>
      <c r="R42">
        <f>IF(I42&lt;=60,1,0)</f>
        <v/>
      </c>
    </row>
    <row r="43">
      <c r="A43" t="n">
        <v>42</v>
      </c>
      <c r="B43" t="n">
        <v>1</v>
      </c>
      <c r="C43" t="n">
        <v>3</v>
      </c>
      <c r="D43" t="n">
        <v>1</v>
      </c>
      <c r="E43" t="n">
        <v>63</v>
      </c>
      <c r="F43" t="n">
        <v>0</v>
      </c>
      <c r="G43" t="n">
        <v>127</v>
      </c>
      <c r="H43" t="n">
        <v>0</v>
      </c>
      <c r="I43" t="n">
        <v>219</v>
      </c>
      <c r="J43" t="n">
        <v>0.26105</v>
      </c>
      <c r="K43">
        <f>RANK(J43,$J$2:$J$601,1)</f>
        <v/>
      </c>
      <c r="L43">
        <f>IF(K43&lt;=60,1,0)</f>
        <v/>
      </c>
      <c r="M43">
        <f>IF(MOD(A43-7,10)=0,1,0)</f>
        <v/>
      </c>
      <c r="N43">
        <f>COUNTIFS($B$2:$B$601,B43,$J$2:$J$601,"&lt;"&amp;J43)+1</f>
        <v/>
      </c>
      <c r="O43">
        <f>ROUND(COUNTIF($B$2:$B$601,B43)/600*60,0)</f>
        <v/>
      </c>
      <c r="P43">
        <f>IF(N43&lt;=O43,1,0)</f>
        <v/>
      </c>
      <c r="Q43">
        <f>IF(OR(C43=4,C43=15,C43=27),1,0)</f>
        <v/>
      </c>
      <c r="R43">
        <f>IF(I43&lt;=60,1,0)</f>
        <v/>
      </c>
    </row>
    <row r="44">
      <c r="A44" t="n">
        <v>43</v>
      </c>
      <c r="B44" t="n">
        <v>1</v>
      </c>
      <c r="C44" t="n">
        <v>3</v>
      </c>
      <c r="D44" t="n">
        <v>2</v>
      </c>
      <c r="E44" t="n">
        <v>79</v>
      </c>
      <c r="F44" t="n">
        <v>0</v>
      </c>
      <c r="G44" t="n">
        <v>163</v>
      </c>
      <c r="H44" t="n">
        <v>1</v>
      </c>
      <c r="I44" t="n">
        <v>9</v>
      </c>
      <c r="J44" t="n">
        <v>0.07284499999999999</v>
      </c>
      <c r="K44">
        <f>RANK(J44,$J$2:$J$601,1)</f>
        <v/>
      </c>
      <c r="L44">
        <f>IF(K44&lt;=60,1,0)</f>
        <v/>
      </c>
      <c r="M44">
        <f>IF(MOD(A44-7,10)=0,1,0)</f>
        <v/>
      </c>
      <c r="N44">
        <f>COUNTIFS($B$2:$B$601,B44,$J$2:$J$601,"&lt;"&amp;J44)+1</f>
        <v/>
      </c>
      <c r="O44">
        <f>ROUND(COUNTIF($B$2:$B$601,B44)/600*60,0)</f>
        <v/>
      </c>
      <c r="P44">
        <f>IF(N44&lt;=O44,1,0)</f>
        <v/>
      </c>
      <c r="Q44">
        <f>IF(OR(C44=4,C44=15,C44=27),1,0)</f>
        <v/>
      </c>
      <c r="R44">
        <f>IF(I44&lt;=60,1,0)</f>
        <v/>
      </c>
    </row>
    <row r="45">
      <c r="A45" t="n">
        <v>44</v>
      </c>
      <c r="B45" t="n">
        <v>1</v>
      </c>
      <c r="C45" t="n">
        <v>3</v>
      </c>
      <c r="D45" t="n">
        <v>1</v>
      </c>
      <c r="E45" t="n">
        <v>77</v>
      </c>
      <c r="F45" t="n">
        <v>0</v>
      </c>
      <c r="G45" t="n">
        <v>145</v>
      </c>
      <c r="H45" t="n">
        <v>1</v>
      </c>
      <c r="I45" t="n">
        <v>214</v>
      </c>
      <c r="J45" t="n">
        <v>0.814449</v>
      </c>
      <c r="K45">
        <f>RANK(J45,$J$2:$J$601,1)</f>
        <v/>
      </c>
      <c r="L45">
        <f>IF(K45&lt;=60,1,0)</f>
        <v/>
      </c>
      <c r="M45">
        <f>IF(MOD(A45-7,10)=0,1,0)</f>
        <v/>
      </c>
      <c r="N45">
        <f>COUNTIFS($B$2:$B$601,B45,$J$2:$J$601,"&lt;"&amp;J45)+1</f>
        <v/>
      </c>
      <c r="O45">
        <f>ROUND(COUNTIF($B$2:$B$601,B45)/600*60,0)</f>
        <v/>
      </c>
      <c r="P45">
        <f>IF(N45&lt;=O45,1,0)</f>
        <v/>
      </c>
      <c r="Q45">
        <f>IF(OR(C45=4,C45=15,C45=27),1,0)</f>
        <v/>
      </c>
      <c r="R45">
        <f>IF(I45&lt;=60,1,0)</f>
        <v/>
      </c>
    </row>
    <row r="46">
      <c r="A46" t="n">
        <v>45</v>
      </c>
      <c r="B46" t="n">
        <v>1</v>
      </c>
      <c r="C46" t="n">
        <v>3</v>
      </c>
      <c r="D46" t="n">
        <v>1</v>
      </c>
      <c r="E46" t="n">
        <v>57</v>
      </c>
      <c r="F46" t="n">
        <v>0</v>
      </c>
      <c r="G46" t="n">
        <v>121</v>
      </c>
      <c r="H46" t="n">
        <v>0</v>
      </c>
      <c r="I46" t="n">
        <v>342</v>
      </c>
      <c r="J46" t="n">
        <v>0.588874</v>
      </c>
      <c r="K46">
        <f>RANK(J46,$J$2:$J$601,1)</f>
        <v/>
      </c>
      <c r="L46">
        <f>IF(K46&lt;=60,1,0)</f>
        <v/>
      </c>
      <c r="M46">
        <f>IF(MOD(A46-7,10)=0,1,0)</f>
        <v/>
      </c>
      <c r="N46">
        <f>COUNTIFS($B$2:$B$601,B46,$J$2:$J$601,"&lt;"&amp;J46)+1</f>
        <v/>
      </c>
      <c r="O46">
        <f>ROUND(COUNTIF($B$2:$B$601,B46)/600*60,0)</f>
        <v/>
      </c>
      <c r="P46">
        <f>IF(N46&lt;=O46,1,0)</f>
        <v/>
      </c>
      <c r="Q46">
        <f>IF(OR(C46=4,C46=15,C46=27),1,0)</f>
        <v/>
      </c>
      <c r="R46">
        <f>IF(I46&lt;=60,1,0)</f>
        <v/>
      </c>
    </row>
    <row r="47">
      <c r="A47" t="n">
        <v>46</v>
      </c>
      <c r="B47" t="n">
        <v>1</v>
      </c>
      <c r="C47" t="n">
        <v>3</v>
      </c>
      <c r="D47" t="n">
        <v>2</v>
      </c>
      <c r="E47" t="n">
        <v>42</v>
      </c>
      <c r="F47" t="n">
        <v>0</v>
      </c>
      <c r="G47" t="n">
        <v>124</v>
      </c>
      <c r="H47" t="n">
        <v>0</v>
      </c>
      <c r="I47" t="n">
        <v>565</v>
      </c>
      <c r="J47" t="n">
        <v>0.616268</v>
      </c>
      <c r="K47">
        <f>RANK(J47,$J$2:$J$601,1)</f>
        <v/>
      </c>
      <c r="L47">
        <f>IF(K47&lt;=60,1,0)</f>
        <v/>
      </c>
      <c r="M47">
        <f>IF(MOD(A47-7,10)=0,1,0)</f>
        <v/>
      </c>
      <c r="N47">
        <f>COUNTIFS($B$2:$B$601,B47,$J$2:$J$601,"&lt;"&amp;J47)+1</f>
        <v/>
      </c>
      <c r="O47">
        <f>ROUND(COUNTIF($B$2:$B$601,B47)/600*60,0)</f>
        <v/>
      </c>
      <c r="P47">
        <f>IF(N47&lt;=O47,1,0)</f>
        <v/>
      </c>
      <c r="Q47">
        <f>IF(OR(C47=4,C47=15,C47=27),1,0)</f>
        <v/>
      </c>
      <c r="R47">
        <f>IF(I47&lt;=60,1,0)</f>
        <v/>
      </c>
    </row>
    <row r="48">
      <c r="A48" t="n">
        <v>47</v>
      </c>
      <c r="B48" t="n">
        <v>1</v>
      </c>
      <c r="C48" t="n">
        <v>3</v>
      </c>
      <c r="D48" t="n">
        <v>2</v>
      </c>
      <c r="E48" t="n">
        <v>38</v>
      </c>
      <c r="F48" t="n">
        <v>1</v>
      </c>
      <c r="G48" t="n">
        <v>124</v>
      </c>
      <c r="H48" t="n">
        <v>0</v>
      </c>
      <c r="I48" t="n">
        <v>470</v>
      </c>
      <c r="J48" t="n">
        <v>0.710201</v>
      </c>
      <c r="K48">
        <f>RANK(J48,$J$2:$J$601,1)</f>
        <v/>
      </c>
      <c r="L48">
        <f>IF(K48&lt;=60,1,0)</f>
        <v/>
      </c>
      <c r="M48">
        <f>IF(MOD(A48-7,10)=0,1,0)</f>
        <v/>
      </c>
      <c r="N48">
        <f>COUNTIFS($B$2:$B$601,B48,$J$2:$J$601,"&lt;"&amp;J48)+1</f>
        <v/>
      </c>
      <c r="O48">
        <f>ROUND(COUNTIF($B$2:$B$601,B48)/600*60,0)</f>
        <v/>
      </c>
      <c r="P48">
        <f>IF(N48&lt;=O48,1,0)</f>
        <v/>
      </c>
      <c r="Q48">
        <f>IF(OR(C48=4,C48=15,C48=27),1,0)</f>
        <v/>
      </c>
      <c r="R48">
        <f>IF(I48&lt;=60,1,0)</f>
        <v/>
      </c>
    </row>
    <row r="49">
      <c r="A49" t="n">
        <v>48</v>
      </c>
      <c r="B49" t="n">
        <v>1</v>
      </c>
      <c r="C49" t="n">
        <v>3</v>
      </c>
      <c r="D49" t="n">
        <v>2</v>
      </c>
      <c r="E49" t="n">
        <v>69</v>
      </c>
      <c r="F49" t="n">
        <v>0</v>
      </c>
      <c r="G49" t="n">
        <v>155</v>
      </c>
      <c r="H49" t="n">
        <v>1</v>
      </c>
      <c r="I49" t="n">
        <v>232</v>
      </c>
      <c r="J49" t="n">
        <v>0.299382</v>
      </c>
      <c r="K49">
        <f>RANK(J49,$J$2:$J$601,1)</f>
        <v/>
      </c>
      <c r="L49">
        <f>IF(K49&lt;=60,1,0)</f>
        <v/>
      </c>
      <c r="M49">
        <f>IF(MOD(A49-7,10)=0,1,0)</f>
        <v/>
      </c>
      <c r="N49">
        <f>COUNTIFS($B$2:$B$601,B49,$J$2:$J$601,"&lt;"&amp;J49)+1</f>
        <v/>
      </c>
      <c r="O49">
        <f>ROUND(COUNTIF($B$2:$B$601,B49)/600*60,0)</f>
        <v/>
      </c>
      <c r="P49">
        <f>IF(N49&lt;=O49,1,0)</f>
        <v/>
      </c>
      <c r="Q49">
        <f>IF(OR(C49=4,C49=15,C49=27),1,0)</f>
        <v/>
      </c>
      <c r="R49">
        <f>IF(I49&lt;=60,1,0)</f>
        <v/>
      </c>
    </row>
    <row r="50">
      <c r="A50" t="n">
        <v>49</v>
      </c>
      <c r="B50" t="n">
        <v>1</v>
      </c>
      <c r="C50" t="n">
        <v>3</v>
      </c>
      <c r="D50" t="n">
        <v>1</v>
      </c>
      <c r="E50" t="n">
        <v>58</v>
      </c>
      <c r="F50" t="n">
        <v>0</v>
      </c>
      <c r="G50" t="n">
        <v>121</v>
      </c>
      <c r="H50" t="n">
        <v>0</v>
      </c>
      <c r="I50" t="n">
        <v>400</v>
      </c>
      <c r="J50" t="n">
        <v>0.630586</v>
      </c>
      <c r="K50">
        <f>RANK(J50,$J$2:$J$601,1)</f>
        <v/>
      </c>
      <c r="L50">
        <f>IF(K50&lt;=60,1,0)</f>
        <v/>
      </c>
      <c r="M50">
        <f>IF(MOD(A50-7,10)=0,1,0)</f>
        <v/>
      </c>
      <c r="N50">
        <f>COUNTIFS($B$2:$B$601,B50,$J$2:$J$601,"&lt;"&amp;J50)+1</f>
        <v/>
      </c>
      <c r="O50">
        <f>ROUND(COUNTIF($B$2:$B$601,B50)/600*60,0)</f>
        <v/>
      </c>
      <c r="P50">
        <f>IF(N50&lt;=O50,1,0)</f>
        <v/>
      </c>
      <c r="Q50">
        <f>IF(OR(C50=4,C50=15,C50=27),1,0)</f>
        <v/>
      </c>
      <c r="R50">
        <f>IF(I50&lt;=60,1,0)</f>
        <v/>
      </c>
    </row>
    <row r="51">
      <c r="A51" t="n">
        <v>50</v>
      </c>
      <c r="B51" t="n">
        <v>1</v>
      </c>
      <c r="C51" t="n">
        <v>3</v>
      </c>
      <c r="D51" t="n">
        <v>1</v>
      </c>
      <c r="E51" t="n">
        <v>43</v>
      </c>
      <c r="F51" t="n">
        <v>0</v>
      </c>
      <c r="G51" t="n">
        <v>97</v>
      </c>
      <c r="H51" t="n">
        <v>0</v>
      </c>
      <c r="I51" t="n">
        <v>379</v>
      </c>
      <c r="J51" t="n">
        <v>0.267983</v>
      </c>
      <c r="K51">
        <f>RANK(J51,$J$2:$J$601,1)</f>
        <v/>
      </c>
      <c r="L51">
        <f>IF(K51&lt;=60,1,0)</f>
        <v/>
      </c>
      <c r="M51">
        <f>IF(MOD(A51-7,10)=0,1,0)</f>
        <v/>
      </c>
      <c r="N51">
        <f>COUNTIFS($B$2:$B$601,B51,$J$2:$J$601,"&lt;"&amp;J51)+1</f>
        <v/>
      </c>
      <c r="O51">
        <f>ROUND(COUNTIF($B$2:$B$601,B51)/600*60,0)</f>
        <v/>
      </c>
      <c r="P51">
        <f>IF(N51&lt;=O51,1,0)</f>
        <v/>
      </c>
      <c r="Q51">
        <f>IF(OR(C51=4,C51=15,C51=27),1,0)</f>
        <v/>
      </c>
      <c r="R51">
        <f>IF(I51&lt;=60,1,0)</f>
        <v/>
      </c>
    </row>
    <row r="52">
      <c r="A52" t="n">
        <v>51</v>
      </c>
      <c r="B52" t="n">
        <v>1</v>
      </c>
      <c r="C52" t="n">
        <v>3</v>
      </c>
      <c r="D52" t="n">
        <v>2</v>
      </c>
      <c r="E52" t="n">
        <v>69</v>
      </c>
      <c r="F52" t="n">
        <v>0</v>
      </c>
      <c r="G52" t="n">
        <v>133</v>
      </c>
      <c r="H52" t="n">
        <v>0</v>
      </c>
      <c r="I52" t="n">
        <v>398</v>
      </c>
      <c r="J52" t="n">
        <v>0.781359</v>
      </c>
      <c r="K52">
        <f>RANK(J52,$J$2:$J$601,1)</f>
        <v/>
      </c>
      <c r="L52">
        <f>IF(K52&lt;=60,1,0)</f>
        <v/>
      </c>
      <c r="M52">
        <f>IF(MOD(A52-7,10)=0,1,0)</f>
        <v/>
      </c>
      <c r="N52">
        <f>COUNTIFS($B$2:$B$601,B52,$J$2:$J$601,"&lt;"&amp;J52)+1</f>
        <v/>
      </c>
      <c r="O52">
        <f>ROUND(COUNTIF($B$2:$B$601,B52)/600*60,0)</f>
        <v/>
      </c>
      <c r="P52">
        <f>IF(N52&lt;=O52,1,0)</f>
        <v/>
      </c>
      <c r="Q52">
        <f>IF(OR(C52=4,C52=15,C52=27),1,0)</f>
        <v/>
      </c>
      <c r="R52">
        <f>IF(I52&lt;=60,1,0)</f>
        <v/>
      </c>
    </row>
    <row r="53">
      <c r="A53" t="n">
        <v>52</v>
      </c>
      <c r="B53" t="n">
        <v>1</v>
      </c>
      <c r="C53" t="n">
        <v>3</v>
      </c>
      <c r="D53" t="n">
        <v>2</v>
      </c>
      <c r="E53" t="n">
        <v>76</v>
      </c>
      <c r="F53" t="n">
        <v>0</v>
      </c>
      <c r="G53" t="n">
        <v>152</v>
      </c>
      <c r="H53" t="n">
        <v>1</v>
      </c>
      <c r="I53" t="n">
        <v>111</v>
      </c>
      <c r="J53" t="n">
        <v>0.640803</v>
      </c>
      <c r="K53">
        <f>RANK(J53,$J$2:$J$601,1)</f>
        <v/>
      </c>
      <c r="L53">
        <f>IF(K53&lt;=60,1,0)</f>
        <v/>
      </c>
      <c r="M53">
        <f>IF(MOD(A53-7,10)=0,1,0)</f>
        <v/>
      </c>
      <c r="N53">
        <f>COUNTIFS($B$2:$B$601,B53,$J$2:$J$601,"&lt;"&amp;J53)+1</f>
        <v/>
      </c>
      <c r="O53">
        <f>ROUND(COUNTIF($B$2:$B$601,B53)/600*60,0)</f>
        <v/>
      </c>
      <c r="P53">
        <f>IF(N53&lt;=O53,1,0)</f>
        <v/>
      </c>
      <c r="Q53">
        <f>IF(OR(C53=4,C53=15,C53=27),1,0)</f>
        <v/>
      </c>
      <c r="R53">
        <f>IF(I53&lt;=60,1,0)</f>
        <v/>
      </c>
    </row>
    <row r="54">
      <c r="A54" t="n">
        <v>53</v>
      </c>
      <c r="B54" t="n">
        <v>1</v>
      </c>
      <c r="C54" t="n">
        <v>3</v>
      </c>
      <c r="D54" t="n">
        <v>1</v>
      </c>
      <c r="E54" t="n">
        <v>55</v>
      </c>
      <c r="F54" t="n">
        <v>0</v>
      </c>
      <c r="G54" t="n">
        <v>131</v>
      </c>
      <c r="H54" t="n">
        <v>0</v>
      </c>
      <c r="I54" t="n">
        <v>482</v>
      </c>
      <c r="J54" t="n">
        <v>0.037264</v>
      </c>
      <c r="K54">
        <f>RANK(J54,$J$2:$J$601,1)</f>
        <v/>
      </c>
      <c r="L54">
        <f>IF(K54&lt;=60,1,0)</f>
        <v/>
      </c>
      <c r="M54">
        <f>IF(MOD(A54-7,10)=0,1,0)</f>
        <v/>
      </c>
      <c r="N54">
        <f>COUNTIFS($B$2:$B$601,B54,$J$2:$J$601,"&lt;"&amp;J54)+1</f>
        <v/>
      </c>
      <c r="O54">
        <f>ROUND(COUNTIF($B$2:$B$601,B54)/600*60,0)</f>
        <v/>
      </c>
      <c r="P54">
        <f>IF(N54&lt;=O54,1,0)</f>
        <v/>
      </c>
      <c r="Q54">
        <f>IF(OR(C54=4,C54=15,C54=27),1,0)</f>
        <v/>
      </c>
      <c r="R54">
        <f>IF(I54&lt;=60,1,0)</f>
        <v/>
      </c>
    </row>
    <row r="55">
      <c r="A55" t="n">
        <v>54</v>
      </c>
      <c r="B55" t="n">
        <v>1</v>
      </c>
      <c r="C55" t="n">
        <v>3</v>
      </c>
      <c r="D55" t="n">
        <v>1</v>
      </c>
      <c r="E55" t="n">
        <v>66</v>
      </c>
      <c r="F55" t="n">
        <v>0</v>
      </c>
      <c r="G55" t="n">
        <v>149</v>
      </c>
      <c r="H55" t="n">
        <v>1</v>
      </c>
      <c r="I55" t="n">
        <v>41</v>
      </c>
      <c r="J55" t="n">
        <v>0.30342</v>
      </c>
      <c r="K55">
        <f>RANK(J55,$J$2:$J$601,1)</f>
        <v/>
      </c>
      <c r="L55">
        <f>IF(K55&lt;=60,1,0)</f>
        <v/>
      </c>
      <c r="M55">
        <f>IF(MOD(A55-7,10)=0,1,0)</f>
        <v/>
      </c>
      <c r="N55">
        <f>COUNTIFS($B$2:$B$601,B55,$J$2:$J$601,"&lt;"&amp;J55)+1</f>
        <v/>
      </c>
      <c r="O55">
        <f>ROUND(COUNTIF($B$2:$B$601,B55)/600*60,0)</f>
        <v/>
      </c>
      <c r="P55">
        <f>IF(N55&lt;=O55,1,0)</f>
        <v/>
      </c>
      <c r="Q55">
        <f>IF(OR(C55=4,C55=15,C55=27),1,0)</f>
        <v/>
      </c>
      <c r="R55">
        <f>IF(I55&lt;=60,1,0)</f>
        <v/>
      </c>
    </row>
    <row r="56">
      <c r="A56" t="n">
        <v>55</v>
      </c>
      <c r="B56" t="n">
        <v>1</v>
      </c>
      <c r="C56" t="n">
        <v>3</v>
      </c>
      <c r="D56" t="n">
        <v>2</v>
      </c>
      <c r="E56" t="n">
        <v>78</v>
      </c>
      <c r="F56" t="n">
        <v>0</v>
      </c>
      <c r="G56" t="n">
        <v>144</v>
      </c>
      <c r="H56" t="n">
        <v>1</v>
      </c>
      <c r="I56" t="n">
        <v>53</v>
      </c>
      <c r="J56" t="n">
        <v>0.225508</v>
      </c>
      <c r="K56">
        <f>RANK(J56,$J$2:$J$601,1)</f>
        <v/>
      </c>
      <c r="L56">
        <f>IF(K56&lt;=60,1,0)</f>
        <v/>
      </c>
      <c r="M56">
        <f>IF(MOD(A56-7,10)=0,1,0)</f>
        <v/>
      </c>
      <c r="N56">
        <f>COUNTIFS($B$2:$B$601,B56,$J$2:$J$601,"&lt;"&amp;J56)+1</f>
        <v/>
      </c>
      <c r="O56">
        <f>ROUND(COUNTIF($B$2:$B$601,B56)/600*60,0)</f>
        <v/>
      </c>
      <c r="P56">
        <f>IF(N56&lt;=O56,1,0)</f>
        <v/>
      </c>
      <c r="Q56">
        <f>IF(OR(C56=4,C56=15,C56=27),1,0)</f>
        <v/>
      </c>
      <c r="R56">
        <f>IF(I56&lt;=60,1,0)</f>
        <v/>
      </c>
    </row>
    <row r="57">
      <c r="A57" t="n">
        <v>56</v>
      </c>
      <c r="B57" t="n">
        <v>1</v>
      </c>
      <c r="C57" t="n">
        <v>3</v>
      </c>
      <c r="D57" t="n">
        <v>1</v>
      </c>
      <c r="E57" t="n">
        <v>80</v>
      </c>
      <c r="F57" t="n">
        <v>0</v>
      </c>
      <c r="G57" t="n">
        <v>149</v>
      </c>
      <c r="H57" t="n">
        <v>1</v>
      </c>
      <c r="I57" t="n">
        <v>8</v>
      </c>
      <c r="J57" t="n">
        <v>0.755425</v>
      </c>
      <c r="K57">
        <f>RANK(J57,$J$2:$J$601,1)</f>
        <v/>
      </c>
      <c r="L57">
        <f>IF(K57&lt;=60,1,0)</f>
        <v/>
      </c>
      <c r="M57">
        <f>IF(MOD(A57-7,10)=0,1,0)</f>
        <v/>
      </c>
      <c r="N57">
        <f>COUNTIFS($B$2:$B$601,B57,$J$2:$J$601,"&lt;"&amp;J57)+1</f>
        <v/>
      </c>
      <c r="O57">
        <f>ROUND(COUNTIF($B$2:$B$601,B57)/600*60,0)</f>
        <v/>
      </c>
      <c r="P57">
        <f>IF(N57&lt;=O57,1,0)</f>
        <v/>
      </c>
      <c r="Q57">
        <f>IF(OR(C57=4,C57=15,C57=27),1,0)</f>
        <v/>
      </c>
      <c r="R57">
        <f>IF(I57&lt;=60,1,0)</f>
        <v/>
      </c>
    </row>
    <row r="58">
      <c r="A58" t="n">
        <v>57</v>
      </c>
      <c r="B58" t="n">
        <v>1</v>
      </c>
      <c r="C58" t="n">
        <v>3</v>
      </c>
      <c r="D58" t="n">
        <v>2</v>
      </c>
      <c r="E58" t="n">
        <v>64</v>
      </c>
      <c r="F58" t="n">
        <v>1</v>
      </c>
      <c r="G58" t="n">
        <v>144</v>
      </c>
      <c r="H58" t="n">
        <v>1</v>
      </c>
      <c r="I58" t="n">
        <v>93</v>
      </c>
      <c r="J58" t="n">
        <v>0.036226</v>
      </c>
      <c r="K58">
        <f>RANK(J58,$J$2:$J$601,1)</f>
        <v/>
      </c>
      <c r="L58">
        <f>IF(K58&lt;=60,1,0)</f>
        <v/>
      </c>
      <c r="M58">
        <f>IF(MOD(A58-7,10)=0,1,0)</f>
        <v/>
      </c>
      <c r="N58">
        <f>COUNTIFS($B$2:$B$601,B58,$J$2:$J$601,"&lt;"&amp;J58)+1</f>
        <v/>
      </c>
      <c r="O58">
        <f>ROUND(COUNTIF($B$2:$B$601,B58)/600*60,0)</f>
        <v/>
      </c>
      <c r="P58">
        <f>IF(N58&lt;=O58,1,0)</f>
        <v/>
      </c>
      <c r="Q58">
        <f>IF(OR(C58=4,C58=15,C58=27),1,0)</f>
        <v/>
      </c>
      <c r="R58">
        <f>IF(I58&lt;=60,1,0)</f>
        <v/>
      </c>
    </row>
    <row r="59">
      <c r="A59" t="n">
        <v>58</v>
      </c>
      <c r="B59" t="n">
        <v>1</v>
      </c>
      <c r="C59" t="n">
        <v>3</v>
      </c>
      <c r="D59" t="n">
        <v>2</v>
      </c>
      <c r="E59" t="n">
        <v>71</v>
      </c>
      <c r="F59" t="n">
        <v>1</v>
      </c>
      <c r="G59" t="n">
        <v>161</v>
      </c>
      <c r="H59" t="n">
        <v>1</v>
      </c>
      <c r="I59" t="n">
        <v>68</v>
      </c>
      <c r="J59" t="n">
        <v>0.116301</v>
      </c>
      <c r="K59">
        <f>RANK(J59,$J$2:$J$601,1)</f>
        <v/>
      </c>
      <c r="L59">
        <f>IF(K59&lt;=60,1,0)</f>
        <v/>
      </c>
      <c r="M59">
        <f>IF(MOD(A59-7,10)=0,1,0)</f>
        <v/>
      </c>
      <c r="N59">
        <f>COUNTIFS($B$2:$B$601,B59,$J$2:$J$601,"&lt;"&amp;J59)+1</f>
        <v/>
      </c>
      <c r="O59">
        <f>ROUND(COUNTIF($B$2:$B$601,B59)/600*60,0)</f>
        <v/>
      </c>
      <c r="P59">
        <f>IF(N59&lt;=O59,1,0)</f>
        <v/>
      </c>
      <c r="Q59">
        <f>IF(OR(C59=4,C59=15,C59=27),1,0)</f>
        <v/>
      </c>
      <c r="R59">
        <f>IF(I59&lt;=60,1,0)</f>
        <v/>
      </c>
    </row>
    <row r="60">
      <c r="A60" t="n">
        <v>59</v>
      </c>
      <c r="B60" t="n">
        <v>1</v>
      </c>
      <c r="C60" t="n">
        <v>3</v>
      </c>
      <c r="D60" t="n">
        <v>1</v>
      </c>
      <c r="E60" t="n">
        <v>34</v>
      </c>
      <c r="F60" t="n">
        <v>0</v>
      </c>
      <c r="G60" t="n">
        <v>130</v>
      </c>
      <c r="H60" t="n">
        <v>0</v>
      </c>
      <c r="I60" t="n">
        <v>581</v>
      </c>
      <c r="J60" t="n">
        <v>0.768138</v>
      </c>
      <c r="K60">
        <f>RANK(J60,$J$2:$J$601,1)</f>
        <v/>
      </c>
      <c r="L60">
        <f>IF(K60&lt;=60,1,0)</f>
        <v/>
      </c>
      <c r="M60">
        <f>IF(MOD(A60-7,10)=0,1,0)</f>
        <v/>
      </c>
      <c r="N60">
        <f>COUNTIFS($B$2:$B$601,B60,$J$2:$J$601,"&lt;"&amp;J60)+1</f>
        <v/>
      </c>
      <c r="O60">
        <f>ROUND(COUNTIF($B$2:$B$601,B60)/600*60,0)</f>
        <v/>
      </c>
      <c r="P60">
        <f>IF(N60&lt;=O60,1,0)</f>
        <v/>
      </c>
      <c r="Q60">
        <f>IF(OR(C60=4,C60=15,C60=27),1,0)</f>
        <v/>
      </c>
      <c r="R60">
        <f>IF(I60&lt;=60,1,0)</f>
        <v/>
      </c>
    </row>
    <row r="61">
      <c r="A61" t="n">
        <v>60</v>
      </c>
      <c r="B61" t="n">
        <v>1</v>
      </c>
      <c r="C61" t="n">
        <v>3</v>
      </c>
      <c r="D61" t="n">
        <v>2</v>
      </c>
      <c r="E61" t="n">
        <v>69</v>
      </c>
      <c r="F61" t="n">
        <v>1</v>
      </c>
      <c r="G61" t="n">
        <v>137</v>
      </c>
      <c r="H61" t="n">
        <v>0</v>
      </c>
      <c r="I61" t="n">
        <v>467</v>
      </c>
      <c r="J61" t="n">
        <v>0.977235</v>
      </c>
      <c r="K61">
        <f>RANK(J61,$J$2:$J$601,1)</f>
        <v/>
      </c>
      <c r="L61">
        <f>IF(K61&lt;=60,1,0)</f>
        <v/>
      </c>
      <c r="M61">
        <f>IF(MOD(A61-7,10)=0,1,0)</f>
        <v/>
      </c>
      <c r="N61">
        <f>COUNTIFS($B$2:$B$601,B61,$J$2:$J$601,"&lt;"&amp;J61)+1</f>
        <v/>
      </c>
      <c r="O61">
        <f>ROUND(COUNTIF($B$2:$B$601,B61)/600*60,0)</f>
        <v/>
      </c>
      <c r="P61">
        <f>IF(N61&lt;=O61,1,0)</f>
        <v/>
      </c>
      <c r="Q61">
        <f>IF(OR(C61=4,C61=15,C61=27),1,0)</f>
        <v/>
      </c>
      <c r="R61">
        <f>IF(I61&lt;=60,1,0)</f>
        <v/>
      </c>
    </row>
    <row r="62">
      <c r="A62" t="n">
        <v>61</v>
      </c>
      <c r="B62" t="n">
        <v>1</v>
      </c>
      <c r="C62" t="n">
        <v>4</v>
      </c>
      <c r="D62" t="n">
        <v>2</v>
      </c>
      <c r="E62" t="n">
        <v>72</v>
      </c>
      <c r="F62" t="n">
        <v>0</v>
      </c>
      <c r="G62" t="n">
        <v>159</v>
      </c>
      <c r="H62" t="n">
        <v>1</v>
      </c>
      <c r="I62" t="n">
        <v>122</v>
      </c>
      <c r="J62" t="n">
        <v>0.44095</v>
      </c>
      <c r="K62">
        <f>RANK(J62,$J$2:$J$601,1)</f>
        <v/>
      </c>
      <c r="L62">
        <f>IF(K62&lt;=60,1,0)</f>
        <v/>
      </c>
      <c r="M62">
        <f>IF(MOD(A62-7,10)=0,1,0)</f>
        <v/>
      </c>
      <c r="N62">
        <f>COUNTIFS($B$2:$B$601,B62,$J$2:$J$601,"&lt;"&amp;J62)+1</f>
        <v/>
      </c>
      <c r="O62">
        <f>ROUND(COUNTIF($B$2:$B$601,B62)/600*60,0)</f>
        <v/>
      </c>
      <c r="P62">
        <f>IF(N62&lt;=O62,1,0)</f>
        <v/>
      </c>
      <c r="Q62">
        <f>IF(OR(C62=4,C62=15,C62=27),1,0)</f>
        <v/>
      </c>
      <c r="R62">
        <f>IF(I62&lt;=60,1,0)</f>
        <v/>
      </c>
    </row>
    <row r="63">
      <c r="A63" t="n">
        <v>62</v>
      </c>
      <c r="B63" t="n">
        <v>1</v>
      </c>
      <c r="C63" t="n">
        <v>4</v>
      </c>
      <c r="D63" t="n">
        <v>2</v>
      </c>
      <c r="E63" t="n">
        <v>57</v>
      </c>
      <c r="F63" t="n">
        <v>0</v>
      </c>
      <c r="G63" t="n">
        <v>140</v>
      </c>
      <c r="H63" t="n">
        <v>1</v>
      </c>
      <c r="I63" t="n">
        <v>59</v>
      </c>
      <c r="J63" t="n">
        <v>0.669172</v>
      </c>
      <c r="K63">
        <f>RANK(J63,$J$2:$J$601,1)</f>
        <v/>
      </c>
      <c r="L63">
        <f>IF(K63&lt;=60,1,0)</f>
        <v/>
      </c>
      <c r="M63">
        <f>IF(MOD(A63-7,10)=0,1,0)</f>
        <v/>
      </c>
      <c r="N63">
        <f>COUNTIFS($B$2:$B$601,B63,$J$2:$J$601,"&lt;"&amp;J63)+1</f>
        <v/>
      </c>
      <c r="O63">
        <f>ROUND(COUNTIF($B$2:$B$601,B63)/600*60,0)</f>
        <v/>
      </c>
      <c r="P63">
        <f>IF(N63&lt;=O63,1,0)</f>
        <v/>
      </c>
      <c r="Q63">
        <f>IF(OR(C63=4,C63=15,C63=27),1,0)</f>
        <v/>
      </c>
      <c r="R63">
        <f>IF(I63&lt;=60,1,0)</f>
        <v/>
      </c>
    </row>
    <row r="64">
      <c r="A64" t="n">
        <v>63</v>
      </c>
      <c r="B64" t="n">
        <v>1</v>
      </c>
      <c r="C64" t="n">
        <v>4</v>
      </c>
      <c r="D64" t="n">
        <v>2</v>
      </c>
      <c r="E64" t="n">
        <v>71</v>
      </c>
      <c r="F64" t="n">
        <v>1</v>
      </c>
      <c r="G64" t="n">
        <v>164</v>
      </c>
      <c r="H64" t="n">
        <v>1</v>
      </c>
      <c r="I64" t="n">
        <v>114</v>
      </c>
      <c r="J64" t="n">
        <v>0.113492</v>
      </c>
      <c r="K64">
        <f>RANK(J64,$J$2:$J$601,1)</f>
        <v/>
      </c>
      <c r="L64">
        <f>IF(K64&lt;=60,1,0)</f>
        <v/>
      </c>
      <c r="M64">
        <f>IF(MOD(A64-7,10)=0,1,0)</f>
        <v/>
      </c>
      <c r="N64">
        <f>COUNTIFS($B$2:$B$601,B64,$J$2:$J$601,"&lt;"&amp;J64)+1</f>
        <v/>
      </c>
      <c r="O64">
        <f>ROUND(COUNTIF($B$2:$B$601,B64)/600*60,0)</f>
        <v/>
      </c>
      <c r="P64">
        <f>IF(N64&lt;=O64,1,0)</f>
        <v/>
      </c>
      <c r="Q64">
        <f>IF(OR(C64=4,C64=15,C64=27),1,0)</f>
        <v/>
      </c>
      <c r="R64">
        <f>IF(I64&lt;=60,1,0)</f>
        <v/>
      </c>
    </row>
    <row r="65">
      <c r="A65" t="n">
        <v>64</v>
      </c>
      <c r="B65" t="n">
        <v>1</v>
      </c>
      <c r="C65" t="n">
        <v>4</v>
      </c>
      <c r="D65" t="n">
        <v>1</v>
      </c>
      <c r="E65" t="n">
        <v>62</v>
      </c>
      <c r="F65" t="n">
        <v>1</v>
      </c>
      <c r="G65" t="n">
        <v>166</v>
      </c>
      <c r="H65" t="n">
        <v>1</v>
      </c>
      <c r="I65" t="n">
        <v>240</v>
      </c>
      <c r="J65" t="n">
        <v>0.452783</v>
      </c>
      <c r="K65">
        <f>RANK(J65,$J$2:$J$601,1)</f>
        <v/>
      </c>
      <c r="L65">
        <f>IF(K65&lt;=60,1,0)</f>
        <v/>
      </c>
      <c r="M65">
        <f>IF(MOD(A65-7,10)=0,1,0)</f>
        <v/>
      </c>
      <c r="N65">
        <f>COUNTIFS($B$2:$B$601,B65,$J$2:$J$601,"&lt;"&amp;J65)+1</f>
        <v/>
      </c>
      <c r="O65">
        <f>ROUND(COUNTIF($B$2:$B$601,B65)/600*60,0)</f>
        <v/>
      </c>
      <c r="P65">
        <f>IF(N65&lt;=O65,1,0)</f>
        <v/>
      </c>
      <c r="Q65">
        <f>IF(OR(C65=4,C65=15,C65=27),1,0)</f>
        <v/>
      </c>
      <c r="R65">
        <f>IF(I65&lt;=60,1,0)</f>
        <v/>
      </c>
    </row>
    <row r="66">
      <c r="A66" t="n">
        <v>65</v>
      </c>
      <c r="B66" t="n">
        <v>1</v>
      </c>
      <c r="C66" t="n">
        <v>4</v>
      </c>
      <c r="D66" t="n">
        <v>2</v>
      </c>
      <c r="E66" t="n">
        <v>74</v>
      </c>
      <c r="F66" t="n">
        <v>1</v>
      </c>
      <c r="G66" t="n">
        <v>173</v>
      </c>
      <c r="H66" t="n">
        <v>1</v>
      </c>
      <c r="I66" t="n">
        <v>58</v>
      </c>
      <c r="J66" t="n">
        <v>0.380306</v>
      </c>
      <c r="K66">
        <f>RANK(J66,$J$2:$J$601,1)</f>
        <v/>
      </c>
      <c r="L66">
        <f>IF(K66&lt;=60,1,0)</f>
        <v/>
      </c>
      <c r="M66">
        <f>IF(MOD(A66-7,10)=0,1,0)</f>
        <v/>
      </c>
      <c r="N66">
        <f>COUNTIFS($B$2:$B$601,B66,$J$2:$J$601,"&lt;"&amp;J66)+1</f>
        <v/>
      </c>
      <c r="O66">
        <f>ROUND(COUNTIF($B$2:$B$601,B66)/600*60,0)</f>
        <v/>
      </c>
      <c r="P66">
        <f>IF(N66&lt;=O66,1,0)</f>
        <v/>
      </c>
      <c r="Q66">
        <f>IF(OR(C66=4,C66=15,C66=27),1,0)</f>
        <v/>
      </c>
      <c r="R66">
        <f>IF(I66&lt;=60,1,0)</f>
        <v/>
      </c>
    </row>
    <row r="67">
      <c r="A67" t="n">
        <v>66</v>
      </c>
      <c r="B67" t="n">
        <v>1</v>
      </c>
      <c r="C67" t="n">
        <v>4</v>
      </c>
      <c r="D67" t="n">
        <v>1</v>
      </c>
      <c r="E67" t="n">
        <v>57</v>
      </c>
      <c r="F67" t="n">
        <v>0</v>
      </c>
      <c r="G67" t="n">
        <v>130</v>
      </c>
      <c r="H67" t="n">
        <v>0</v>
      </c>
      <c r="I67" t="n">
        <v>421</v>
      </c>
      <c r="J67" t="n">
        <v>0.177244</v>
      </c>
      <c r="K67">
        <f>RANK(J67,$J$2:$J$601,1)</f>
        <v/>
      </c>
      <c r="L67">
        <f>IF(K67&lt;=60,1,0)</f>
        <v/>
      </c>
      <c r="M67">
        <f>IF(MOD(A67-7,10)=0,1,0)</f>
        <v/>
      </c>
      <c r="N67">
        <f>COUNTIFS($B$2:$B$601,B67,$J$2:$J$601,"&lt;"&amp;J67)+1</f>
        <v/>
      </c>
      <c r="O67">
        <f>ROUND(COUNTIF($B$2:$B$601,B67)/600*60,0)</f>
        <v/>
      </c>
      <c r="P67">
        <f>IF(N67&lt;=O67,1,0)</f>
        <v/>
      </c>
      <c r="Q67">
        <f>IF(OR(C67=4,C67=15,C67=27),1,0)</f>
        <v/>
      </c>
      <c r="R67">
        <f>IF(I67&lt;=60,1,0)</f>
        <v/>
      </c>
    </row>
    <row r="68">
      <c r="A68" t="n">
        <v>67</v>
      </c>
      <c r="B68" t="n">
        <v>1</v>
      </c>
      <c r="C68" t="n">
        <v>4</v>
      </c>
      <c r="D68" t="n">
        <v>1</v>
      </c>
      <c r="E68" t="n">
        <v>55</v>
      </c>
      <c r="F68" t="n">
        <v>0</v>
      </c>
      <c r="G68" t="n">
        <v>127</v>
      </c>
      <c r="H68" t="n">
        <v>0</v>
      </c>
      <c r="I68" t="n">
        <v>286</v>
      </c>
      <c r="J68" t="n">
        <v>0.912547</v>
      </c>
      <c r="K68">
        <f>RANK(J68,$J$2:$J$601,1)</f>
        <v/>
      </c>
      <c r="L68">
        <f>IF(K68&lt;=60,1,0)</f>
        <v/>
      </c>
      <c r="M68">
        <f>IF(MOD(A68-7,10)=0,1,0)</f>
        <v/>
      </c>
      <c r="N68">
        <f>COUNTIFS($B$2:$B$601,B68,$J$2:$J$601,"&lt;"&amp;J68)+1</f>
        <v/>
      </c>
      <c r="O68">
        <f>ROUND(COUNTIF($B$2:$B$601,B68)/600*60,0)</f>
        <v/>
      </c>
      <c r="P68">
        <f>IF(N68&lt;=O68,1,0)</f>
        <v/>
      </c>
      <c r="Q68">
        <f>IF(OR(C68=4,C68=15,C68=27),1,0)</f>
        <v/>
      </c>
      <c r="R68">
        <f>IF(I68&lt;=60,1,0)</f>
        <v/>
      </c>
    </row>
    <row r="69">
      <c r="A69" t="n">
        <v>68</v>
      </c>
      <c r="B69" t="n">
        <v>1</v>
      </c>
      <c r="C69" t="n">
        <v>4</v>
      </c>
      <c r="D69" t="n">
        <v>1</v>
      </c>
      <c r="E69" t="n">
        <v>40</v>
      </c>
      <c r="F69" t="n">
        <v>0</v>
      </c>
      <c r="G69" t="n">
        <v>117</v>
      </c>
      <c r="H69" t="n">
        <v>0</v>
      </c>
      <c r="I69" t="n">
        <v>254</v>
      </c>
      <c r="J69" t="n">
        <v>0.747736</v>
      </c>
      <c r="K69">
        <f>RANK(J69,$J$2:$J$601,1)</f>
        <v/>
      </c>
      <c r="L69">
        <f>IF(K69&lt;=60,1,0)</f>
        <v/>
      </c>
      <c r="M69">
        <f>IF(MOD(A69-7,10)=0,1,0)</f>
        <v/>
      </c>
      <c r="N69">
        <f>COUNTIFS($B$2:$B$601,B69,$J$2:$J$601,"&lt;"&amp;J69)+1</f>
        <v/>
      </c>
      <c r="O69">
        <f>ROUND(COUNTIF($B$2:$B$601,B69)/600*60,0)</f>
        <v/>
      </c>
      <c r="P69">
        <f>IF(N69&lt;=O69,1,0)</f>
        <v/>
      </c>
      <c r="Q69">
        <f>IF(OR(C69=4,C69=15,C69=27),1,0)</f>
        <v/>
      </c>
      <c r="R69">
        <f>IF(I69&lt;=60,1,0)</f>
        <v/>
      </c>
    </row>
    <row r="70">
      <c r="A70" t="n">
        <v>69</v>
      </c>
      <c r="B70" t="n">
        <v>1</v>
      </c>
      <c r="C70" t="n">
        <v>4</v>
      </c>
      <c r="D70" t="n">
        <v>1</v>
      </c>
      <c r="E70" t="n">
        <v>32</v>
      </c>
      <c r="F70" t="n">
        <v>0</v>
      </c>
      <c r="G70" t="n">
        <v>104</v>
      </c>
      <c r="H70" t="n">
        <v>0</v>
      </c>
      <c r="I70" t="n">
        <v>357</v>
      </c>
      <c r="J70" t="n">
        <v>0.994498</v>
      </c>
      <c r="K70">
        <f>RANK(J70,$J$2:$J$601,1)</f>
        <v/>
      </c>
      <c r="L70">
        <f>IF(K70&lt;=60,1,0)</f>
        <v/>
      </c>
      <c r="M70">
        <f>IF(MOD(A70-7,10)=0,1,0)</f>
        <v/>
      </c>
      <c r="N70">
        <f>COUNTIFS($B$2:$B$601,B70,$J$2:$J$601,"&lt;"&amp;J70)+1</f>
        <v/>
      </c>
      <c r="O70">
        <f>ROUND(COUNTIF($B$2:$B$601,B70)/600*60,0)</f>
        <v/>
      </c>
      <c r="P70">
        <f>IF(N70&lt;=O70,1,0)</f>
        <v/>
      </c>
      <c r="Q70">
        <f>IF(OR(C70=4,C70=15,C70=27),1,0)</f>
        <v/>
      </c>
      <c r="R70">
        <f>IF(I70&lt;=60,1,0)</f>
        <v/>
      </c>
    </row>
    <row r="71">
      <c r="A71" t="n">
        <v>70</v>
      </c>
      <c r="B71" t="n">
        <v>1</v>
      </c>
      <c r="C71" t="n">
        <v>4</v>
      </c>
      <c r="D71" t="n">
        <v>2</v>
      </c>
      <c r="E71" t="n">
        <v>44</v>
      </c>
      <c r="F71" t="n">
        <v>0</v>
      </c>
      <c r="G71" t="n">
        <v>144</v>
      </c>
      <c r="H71" t="n">
        <v>1</v>
      </c>
      <c r="I71" t="n">
        <v>184</v>
      </c>
      <c r="J71" t="n">
        <v>0.693871</v>
      </c>
      <c r="K71">
        <f>RANK(J71,$J$2:$J$601,1)</f>
        <v/>
      </c>
      <c r="L71">
        <f>IF(K71&lt;=60,1,0)</f>
        <v/>
      </c>
      <c r="M71">
        <f>IF(MOD(A71-7,10)=0,1,0)</f>
        <v/>
      </c>
      <c r="N71">
        <f>COUNTIFS($B$2:$B$601,B71,$J$2:$J$601,"&lt;"&amp;J71)+1</f>
        <v/>
      </c>
      <c r="O71">
        <f>ROUND(COUNTIF($B$2:$B$601,B71)/600*60,0)</f>
        <v/>
      </c>
      <c r="P71">
        <f>IF(N71&lt;=O71,1,0)</f>
        <v/>
      </c>
      <c r="Q71">
        <f>IF(OR(C71=4,C71=15,C71=27),1,0)</f>
        <v/>
      </c>
      <c r="R71">
        <f>IF(I71&lt;=60,1,0)</f>
        <v/>
      </c>
    </row>
    <row r="72">
      <c r="A72" t="n">
        <v>71</v>
      </c>
      <c r="B72" t="n">
        <v>1</v>
      </c>
      <c r="C72" t="n">
        <v>4</v>
      </c>
      <c r="D72" t="n">
        <v>1</v>
      </c>
      <c r="E72" t="n">
        <v>63</v>
      </c>
      <c r="F72" t="n">
        <v>0</v>
      </c>
      <c r="G72" t="n">
        <v>132</v>
      </c>
      <c r="H72" t="n">
        <v>0</v>
      </c>
      <c r="I72" t="n">
        <v>343</v>
      </c>
      <c r="J72" t="n">
        <v>0.132343</v>
      </c>
      <c r="K72">
        <f>RANK(J72,$J$2:$J$601,1)</f>
        <v/>
      </c>
      <c r="L72">
        <f>IF(K72&lt;=60,1,0)</f>
        <v/>
      </c>
      <c r="M72">
        <f>IF(MOD(A72-7,10)=0,1,0)</f>
        <v/>
      </c>
      <c r="N72">
        <f>COUNTIFS($B$2:$B$601,B72,$J$2:$J$601,"&lt;"&amp;J72)+1</f>
        <v/>
      </c>
      <c r="O72">
        <f>ROUND(COUNTIF($B$2:$B$601,B72)/600*60,0)</f>
        <v/>
      </c>
      <c r="P72">
        <f>IF(N72&lt;=O72,1,0)</f>
        <v/>
      </c>
      <c r="Q72">
        <f>IF(OR(C72=4,C72=15,C72=27),1,0)</f>
        <v/>
      </c>
      <c r="R72">
        <f>IF(I72&lt;=60,1,0)</f>
        <v/>
      </c>
    </row>
    <row r="73">
      <c r="A73" t="n">
        <v>72</v>
      </c>
      <c r="B73" t="n">
        <v>1</v>
      </c>
      <c r="C73" t="n">
        <v>4</v>
      </c>
      <c r="D73" t="n">
        <v>2</v>
      </c>
      <c r="E73" t="n">
        <v>80</v>
      </c>
      <c r="F73" t="n">
        <v>0</v>
      </c>
      <c r="G73" t="n">
        <v>160</v>
      </c>
      <c r="H73" t="n">
        <v>1</v>
      </c>
      <c r="I73" t="n">
        <v>29</v>
      </c>
      <c r="J73" t="n">
        <v>0.7242690000000001</v>
      </c>
      <c r="K73">
        <f>RANK(J73,$J$2:$J$601,1)</f>
        <v/>
      </c>
      <c r="L73">
        <f>IF(K73&lt;=60,1,0)</f>
        <v/>
      </c>
      <c r="M73">
        <f>IF(MOD(A73-7,10)=0,1,0)</f>
        <v/>
      </c>
      <c r="N73">
        <f>COUNTIFS($B$2:$B$601,B73,$J$2:$J$601,"&lt;"&amp;J73)+1</f>
        <v/>
      </c>
      <c r="O73">
        <f>ROUND(COUNTIF($B$2:$B$601,B73)/600*60,0)</f>
        <v/>
      </c>
      <c r="P73">
        <f>IF(N73&lt;=O73,1,0)</f>
        <v/>
      </c>
      <c r="Q73">
        <f>IF(OR(C73=4,C73=15,C73=27),1,0)</f>
        <v/>
      </c>
      <c r="R73">
        <f>IF(I73&lt;=60,1,0)</f>
        <v/>
      </c>
    </row>
    <row r="74">
      <c r="A74" t="n">
        <v>73</v>
      </c>
      <c r="B74" t="n">
        <v>1</v>
      </c>
      <c r="C74" t="n">
        <v>4</v>
      </c>
      <c r="D74" t="n">
        <v>1</v>
      </c>
      <c r="E74" t="n">
        <v>50</v>
      </c>
      <c r="F74" t="n">
        <v>1</v>
      </c>
      <c r="G74" t="n">
        <v>122</v>
      </c>
      <c r="H74" t="n">
        <v>0</v>
      </c>
      <c r="I74" t="n">
        <v>404</v>
      </c>
      <c r="J74" t="n">
        <v>0.244695</v>
      </c>
      <c r="K74">
        <f>RANK(J74,$J$2:$J$601,1)</f>
        <v/>
      </c>
      <c r="L74">
        <f>IF(K74&lt;=60,1,0)</f>
        <v/>
      </c>
      <c r="M74">
        <f>IF(MOD(A74-7,10)=0,1,0)</f>
        <v/>
      </c>
      <c r="N74">
        <f>COUNTIFS($B$2:$B$601,B74,$J$2:$J$601,"&lt;"&amp;J74)+1</f>
        <v/>
      </c>
      <c r="O74">
        <f>ROUND(COUNTIF($B$2:$B$601,B74)/600*60,0)</f>
        <v/>
      </c>
      <c r="P74">
        <f>IF(N74&lt;=O74,1,0)</f>
        <v/>
      </c>
      <c r="Q74">
        <f>IF(OR(C74=4,C74=15,C74=27),1,0)</f>
        <v/>
      </c>
      <c r="R74">
        <f>IF(I74&lt;=60,1,0)</f>
        <v/>
      </c>
    </row>
    <row r="75">
      <c r="A75" t="n">
        <v>74</v>
      </c>
      <c r="B75" t="n">
        <v>1</v>
      </c>
      <c r="C75" t="n">
        <v>4</v>
      </c>
      <c r="D75" t="n">
        <v>2</v>
      </c>
      <c r="E75" t="n">
        <v>68</v>
      </c>
      <c r="F75" t="n">
        <v>1</v>
      </c>
      <c r="G75" t="n">
        <v>140</v>
      </c>
      <c r="H75" t="n">
        <v>1</v>
      </c>
      <c r="I75" t="n">
        <v>104</v>
      </c>
      <c r="J75" t="n">
        <v>0.185028</v>
      </c>
      <c r="K75">
        <f>RANK(J75,$J$2:$J$601,1)</f>
        <v/>
      </c>
      <c r="L75">
        <f>IF(K75&lt;=60,1,0)</f>
        <v/>
      </c>
      <c r="M75">
        <f>IF(MOD(A75-7,10)=0,1,0)</f>
        <v/>
      </c>
      <c r="N75">
        <f>COUNTIFS($B$2:$B$601,B75,$J$2:$J$601,"&lt;"&amp;J75)+1</f>
        <v/>
      </c>
      <c r="O75">
        <f>ROUND(COUNTIF($B$2:$B$601,B75)/600*60,0)</f>
        <v/>
      </c>
      <c r="P75">
        <f>IF(N75&lt;=O75,1,0)</f>
        <v/>
      </c>
      <c r="Q75">
        <f>IF(OR(C75=4,C75=15,C75=27),1,0)</f>
        <v/>
      </c>
      <c r="R75">
        <f>IF(I75&lt;=60,1,0)</f>
        <v/>
      </c>
    </row>
    <row r="76">
      <c r="A76" t="n">
        <v>75</v>
      </c>
      <c r="B76" t="n">
        <v>1</v>
      </c>
      <c r="C76" t="n">
        <v>4</v>
      </c>
      <c r="D76" t="n">
        <v>2</v>
      </c>
      <c r="E76" t="n">
        <v>66</v>
      </c>
      <c r="F76" t="n">
        <v>0</v>
      </c>
      <c r="G76" t="n">
        <v>149</v>
      </c>
      <c r="H76" t="n">
        <v>1</v>
      </c>
      <c r="I76" t="n">
        <v>176</v>
      </c>
      <c r="J76" t="n">
        <v>0.714503</v>
      </c>
      <c r="K76">
        <f>RANK(J76,$J$2:$J$601,1)</f>
        <v/>
      </c>
      <c r="L76">
        <f>IF(K76&lt;=60,1,0)</f>
        <v/>
      </c>
      <c r="M76">
        <f>IF(MOD(A76-7,10)=0,1,0)</f>
        <v/>
      </c>
      <c r="N76">
        <f>COUNTIFS($B$2:$B$601,B76,$J$2:$J$601,"&lt;"&amp;J76)+1</f>
        <v/>
      </c>
      <c r="O76">
        <f>ROUND(COUNTIF($B$2:$B$601,B76)/600*60,0)</f>
        <v/>
      </c>
      <c r="P76">
        <f>IF(N76&lt;=O76,1,0)</f>
        <v/>
      </c>
      <c r="Q76">
        <f>IF(OR(C76=4,C76=15,C76=27),1,0)</f>
        <v/>
      </c>
      <c r="R76">
        <f>IF(I76&lt;=60,1,0)</f>
        <v/>
      </c>
    </row>
    <row r="77">
      <c r="A77" t="n">
        <v>76</v>
      </c>
      <c r="B77" t="n">
        <v>1</v>
      </c>
      <c r="C77" t="n">
        <v>4</v>
      </c>
      <c r="D77" t="n">
        <v>1</v>
      </c>
      <c r="E77" t="n">
        <v>38</v>
      </c>
      <c r="F77" t="n">
        <v>0</v>
      </c>
      <c r="G77" t="n">
        <v>129</v>
      </c>
      <c r="H77" t="n">
        <v>0</v>
      </c>
      <c r="I77" t="n">
        <v>553</v>
      </c>
      <c r="J77" t="n">
        <v>0.29098</v>
      </c>
      <c r="K77">
        <f>RANK(J77,$J$2:$J$601,1)</f>
        <v/>
      </c>
      <c r="L77">
        <f>IF(K77&lt;=60,1,0)</f>
        <v/>
      </c>
      <c r="M77">
        <f>IF(MOD(A77-7,10)=0,1,0)</f>
        <v/>
      </c>
      <c r="N77">
        <f>COUNTIFS($B$2:$B$601,B77,$J$2:$J$601,"&lt;"&amp;J77)+1</f>
        <v/>
      </c>
      <c r="O77">
        <f>ROUND(COUNTIF($B$2:$B$601,B77)/600*60,0)</f>
        <v/>
      </c>
      <c r="P77">
        <f>IF(N77&lt;=O77,1,0)</f>
        <v/>
      </c>
      <c r="Q77">
        <f>IF(OR(C77=4,C77=15,C77=27),1,0)</f>
        <v/>
      </c>
      <c r="R77">
        <f>IF(I77&lt;=60,1,0)</f>
        <v/>
      </c>
    </row>
    <row r="78">
      <c r="A78" t="n">
        <v>77</v>
      </c>
      <c r="B78" t="n">
        <v>1</v>
      </c>
      <c r="C78" t="n">
        <v>4</v>
      </c>
      <c r="D78" t="n">
        <v>1</v>
      </c>
      <c r="E78" t="n">
        <v>55</v>
      </c>
      <c r="F78" t="n">
        <v>0</v>
      </c>
      <c r="G78" t="n">
        <v>126</v>
      </c>
      <c r="H78" t="n">
        <v>0</v>
      </c>
      <c r="I78" t="n">
        <v>281</v>
      </c>
      <c r="J78" t="n">
        <v>0.958439</v>
      </c>
      <c r="K78">
        <f>RANK(J78,$J$2:$J$601,1)</f>
        <v/>
      </c>
      <c r="L78">
        <f>IF(K78&lt;=60,1,0)</f>
        <v/>
      </c>
      <c r="M78">
        <f>IF(MOD(A78-7,10)=0,1,0)</f>
        <v/>
      </c>
      <c r="N78">
        <f>COUNTIFS($B$2:$B$601,B78,$J$2:$J$601,"&lt;"&amp;J78)+1</f>
        <v/>
      </c>
      <c r="O78">
        <f>ROUND(COUNTIF($B$2:$B$601,B78)/600*60,0)</f>
        <v/>
      </c>
      <c r="P78">
        <f>IF(N78&lt;=O78,1,0)</f>
        <v/>
      </c>
      <c r="Q78">
        <f>IF(OR(C78=4,C78=15,C78=27),1,0)</f>
        <v/>
      </c>
      <c r="R78">
        <f>IF(I78&lt;=60,1,0)</f>
        <v/>
      </c>
    </row>
    <row r="79">
      <c r="A79" t="n">
        <v>78</v>
      </c>
      <c r="B79" t="n">
        <v>1</v>
      </c>
      <c r="C79" t="n">
        <v>4</v>
      </c>
      <c r="D79" t="n">
        <v>2</v>
      </c>
      <c r="E79" t="n">
        <v>80</v>
      </c>
      <c r="F79" t="n">
        <v>0</v>
      </c>
      <c r="G79" t="n">
        <v>135</v>
      </c>
      <c r="H79" t="n">
        <v>0</v>
      </c>
      <c r="I79" t="n">
        <v>154</v>
      </c>
      <c r="J79" t="n">
        <v>0.578853</v>
      </c>
      <c r="K79">
        <f>RANK(J79,$J$2:$J$601,1)</f>
        <v/>
      </c>
      <c r="L79">
        <f>IF(K79&lt;=60,1,0)</f>
        <v/>
      </c>
      <c r="M79">
        <f>IF(MOD(A79-7,10)=0,1,0)</f>
        <v/>
      </c>
      <c r="N79">
        <f>COUNTIFS($B$2:$B$601,B79,$J$2:$J$601,"&lt;"&amp;J79)+1</f>
        <v/>
      </c>
      <c r="O79">
        <f>ROUND(COUNTIF($B$2:$B$601,B79)/600*60,0)</f>
        <v/>
      </c>
      <c r="P79">
        <f>IF(N79&lt;=O79,1,0)</f>
        <v/>
      </c>
      <c r="Q79">
        <f>IF(OR(C79=4,C79=15,C79=27),1,0)</f>
        <v/>
      </c>
      <c r="R79">
        <f>IF(I79&lt;=60,1,0)</f>
        <v/>
      </c>
    </row>
    <row r="80">
      <c r="A80" t="n">
        <v>79</v>
      </c>
      <c r="B80" t="n">
        <v>1</v>
      </c>
      <c r="C80" t="n">
        <v>4</v>
      </c>
      <c r="D80" t="n">
        <v>1</v>
      </c>
      <c r="E80" t="n">
        <v>71</v>
      </c>
      <c r="F80" t="n">
        <v>0</v>
      </c>
      <c r="G80" t="n">
        <v>152</v>
      </c>
      <c r="H80" t="n">
        <v>1</v>
      </c>
      <c r="I80" t="n">
        <v>91</v>
      </c>
      <c r="J80" t="n">
        <v>0.232326</v>
      </c>
      <c r="K80">
        <f>RANK(J80,$J$2:$J$601,1)</f>
        <v/>
      </c>
      <c r="L80">
        <f>IF(K80&lt;=60,1,0)</f>
        <v/>
      </c>
      <c r="M80">
        <f>IF(MOD(A80-7,10)=0,1,0)</f>
        <v/>
      </c>
      <c r="N80">
        <f>COUNTIFS($B$2:$B$601,B80,$J$2:$J$601,"&lt;"&amp;J80)+1</f>
        <v/>
      </c>
      <c r="O80">
        <f>ROUND(COUNTIF($B$2:$B$601,B80)/600*60,0)</f>
        <v/>
      </c>
      <c r="P80">
        <f>IF(N80&lt;=O80,1,0)</f>
        <v/>
      </c>
      <c r="Q80">
        <f>IF(OR(C80=4,C80=15,C80=27),1,0)</f>
        <v/>
      </c>
      <c r="R80">
        <f>IF(I80&lt;=60,1,0)</f>
        <v/>
      </c>
    </row>
    <row r="81">
      <c r="A81" t="n">
        <v>80</v>
      </c>
      <c r="B81" t="n">
        <v>1</v>
      </c>
      <c r="C81" t="n">
        <v>4</v>
      </c>
      <c r="D81" t="n">
        <v>1</v>
      </c>
      <c r="E81" t="n">
        <v>48</v>
      </c>
      <c r="F81" t="n">
        <v>0</v>
      </c>
      <c r="G81" t="n">
        <v>110</v>
      </c>
      <c r="H81" t="n">
        <v>0</v>
      </c>
      <c r="I81" t="n">
        <v>373</v>
      </c>
      <c r="J81" t="n">
        <v>0.8761139999999999</v>
      </c>
      <c r="K81">
        <f>RANK(J81,$J$2:$J$601,1)</f>
        <v/>
      </c>
      <c r="L81">
        <f>IF(K81&lt;=60,1,0)</f>
        <v/>
      </c>
      <c r="M81">
        <f>IF(MOD(A81-7,10)=0,1,0)</f>
        <v/>
      </c>
      <c r="N81">
        <f>COUNTIFS($B$2:$B$601,B81,$J$2:$J$601,"&lt;"&amp;J81)+1</f>
        <v/>
      </c>
      <c r="O81">
        <f>ROUND(COUNTIF($B$2:$B$601,B81)/600*60,0)</f>
        <v/>
      </c>
      <c r="P81">
        <f>IF(N81&lt;=O81,1,0)</f>
        <v/>
      </c>
      <c r="Q81">
        <f>IF(OR(C81=4,C81=15,C81=27),1,0)</f>
        <v/>
      </c>
      <c r="R81">
        <f>IF(I81&lt;=60,1,0)</f>
        <v/>
      </c>
    </row>
    <row r="82">
      <c r="A82" t="n">
        <v>81</v>
      </c>
      <c r="B82" t="n">
        <v>1</v>
      </c>
      <c r="C82" t="n">
        <v>5</v>
      </c>
      <c r="D82" t="n">
        <v>1</v>
      </c>
      <c r="E82" t="n">
        <v>73</v>
      </c>
      <c r="F82" t="n">
        <v>0</v>
      </c>
      <c r="G82" t="n">
        <v>134</v>
      </c>
      <c r="H82" t="n">
        <v>0</v>
      </c>
      <c r="I82" t="n">
        <v>37</v>
      </c>
      <c r="J82" t="n">
        <v>0.342598</v>
      </c>
      <c r="K82">
        <f>RANK(J82,$J$2:$J$601,1)</f>
        <v/>
      </c>
      <c r="L82">
        <f>IF(K82&lt;=60,1,0)</f>
        <v/>
      </c>
      <c r="M82">
        <f>IF(MOD(A82-7,10)=0,1,0)</f>
        <v/>
      </c>
      <c r="N82">
        <f>COUNTIFS($B$2:$B$601,B82,$J$2:$J$601,"&lt;"&amp;J82)+1</f>
        <v/>
      </c>
      <c r="O82">
        <f>ROUND(COUNTIF($B$2:$B$601,B82)/600*60,0)</f>
        <v/>
      </c>
      <c r="P82">
        <f>IF(N82&lt;=O82,1,0)</f>
        <v/>
      </c>
      <c r="Q82">
        <f>IF(OR(C82=4,C82=15,C82=27),1,0)</f>
        <v/>
      </c>
      <c r="R82">
        <f>IF(I82&lt;=60,1,0)</f>
        <v/>
      </c>
    </row>
    <row r="83">
      <c r="A83" t="n">
        <v>82</v>
      </c>
      <c r="B83" t="n">
        <v>1</v>
      </c>
      <c r="C83" t="n">
        <v>5</v>
      </c>
      <c r="D83" t="n">
        <v>2</v>
      </c>
      <c r="E83" t="n">
        <v>58</v>
      </c>
      <c r="F83" t="n">
        <v>0</v>
      </c>
      <c r="G83" t="n">
        <v>147</v>
      </c>
      <c r="H83" t="n">
        <v>1</v>
      </c>
      <c r="I83" t="n">
        <v>121</v>
      </c>
      <c r="J83" t="n">
        <v>0.77379</v>
      </c>
      <c r="K83">
        <f>RANK(J83,$J$2:$J$601,1)</f>
        <v/>
      </c>
      <c r="L83">
        <f>IF(K83&lt;=60,1,0)</f>
        <v/>
      </c>
      <c r="M83">
        <f>IF(MOD(A83-7,10)=0,1,0)</f>
        <v/>
      </c>
      <c r="N83">
        <f>COUNTIFS($B$2:$B$601,B83,$J$2:$J$601,"&lt;"&amp;J83)+1</f>
        <v/>
      </c>
      <c r="O83">
        <f>ROUND(COUNTIF($B$2:$B$601,B83)/600*60,0)</f>
        <v/>
      </c>
      <c r="P83">
        <f>IF(N83&lt;=O83,1,0)</f>
        <v/>
      </c>
      <c r="Q83">
        <f>IF(OR(C83=4,C83=15,C83=27),1,0)</f>
        <v/>
      </c>
      <c r="R83">
        <f>IF(I83&lt;=60,1,0)</f>
        <v/>
      </c>
    </row>
    <row r="84">
      <c r="A84" t="n">
        <v>83</v>
      </c>
      <c r="B84" t="n">
        <v>1</v>
      </c>
      <c r="C84" t="n">
        <v>5</v>
      </c>
      <c r="D84" t="n">
        <v>2</v>
      </c>
      <c r="E84" t="n">
        <v>74</v>
      </c>
      <c r="F84" t="n">
        <v>0</v>
      </c>
      <c r="G84" t="n">
        <v>165</v>
      </c>
      <c r="H84" t="n">
        <v>1</v>
      </c>
      <c r="I84" t="n">
        <v>66</v>
      </c>
      <c r="J84" t="n">
        <v>0.507173</v>
      </c>
      <c r="K84">
        <f>RANK(J84,$J$2:$J$601,1)</f>
        <v/>
      </c>
      <c r="L84">
        <f>IF(K84&lt;=60,1,0)</f>
        <v/>
      </c>
      <c r="M84">
        <f>IF(MOD(A84-7,10)=0,1,0)</f>
        <v/>
      </c>
      <c r="N84">
        <f>COUNTIFS($B$2:$B$601,B84,$J$2:$J$601,"&lt;"&amp;J84)+1</f>
        <v/>
      </c>
      <c r="O84">
        <f>ROUND(COUNTIF($B$2:$B$601,B84)/600*60,0)</f>
        <v/>
      </c>
      <c r="P84">
        <f>IF(N84&lt;=O84,1,0)</f>
        <v/>
      </c>
      <c r="Q84">
        <f>IF(OR(C84=4,C84=15,C84=27),1,0)</f>
        <v/>
      </c>
      <c r="R84">
        <f>IF(I84&lt;=60,1,0)</f>
        <v/>
      </c>
    </row>
    <row r="85">
      <c r="A85" t="n">
        <v>84</v>
      </c>
      <c r="B85" t="n">
        <v>1</v>
      </c>
      <c r="C85" t="n">
        <v>5</v>
      </c>
      <c r="D85" t="n">
        <v>1</v>
      </c>
      <c r="E85" t="n">
        <v>78</v>
      </c>
      <c r="F85" t="n">
        <v>0</v>
      </c>
      <c r="G85" t="n">
        <v>152</v>
      </c>
      <c r="H85" t="n">
        <v>1</v>
      </c>
      <c r="I85" t="n">
        <v>85</v>
      </c>
      <c r="J85" t="n">
        <v>0.349401</v>
      </c>
      <c r="K85">
        <f>RANK(J85,$J$2:$J$601,1)</f>
        <v/>
      </c>
      <c r="L85">
        <f>IF(K85&lt;=60,1,0)</f>
        <v/>
      </c>
      <c r="M85">
        <f>IF(MOD(A85-7,10)=0,1,0)</f>
        <v/>
      </c>
      <c r="N85">
        <f>COUNTIFS($B$2:$B$601,B85,$J$2:$J$601,"&lt;"&amp;J85)+1</f>
        <v/>
      </c>
      <c r="O85">
        <f>ROUND(COUNTIF($B$2:$B$601,B85)/600*60,0)</f>
        <v/>
      </c>
      <c r="P85">
        <f>IF(N85&lt;=O85,1,0)</f>
        <v/>
      </c>
      <c r="Q85">
        <f>IF(OR(C85=4,C85=15,C85=27),1,0)</f>
        <v/>
      </c>
      <c r="R85">
        <f>IF(I85&lt;=60,1,0)</f>
        <v/>
      </c>
    </row>
    <row r="86">
      <c r="A86" t="n">
        <v>85</v>
      </c>
      <c r="B86" t="n">
        <v>1</v>
      </c>
      <c r="C86" t="n">
        <v>5</v>
      </c>
      <c r="D86" t="n">
        <v>2</v>
      </c>
      <c r="E86" t="n">
        <v>49</v>
      </c>
      <c r="F86" t="n">
        <v>0</v>
      </c>
      <c r="G86" t="n">
        <v>139</v>
      </c>
      <c r="H86" t="n">
        <v>0</v>
      </c>
      <c r="I86" t="n">
        <v>385</v>
      </c>
      <c r="J86" t="n">
        <v>0.47208</v>
      </c>
      <c r="K86">
        <f>RANK(J86,$J$2:$J$601,1)</f>
        <v/>
      </c>
      <c r="L86">
        <f>IF(K86&lt;=60,1,0)</f>
        <v/>
      </c>
      <c r="M86">
        <f>IF(MOD(A86-7,10)=0,1,0)</f>
        <v/>
      </c>
      <c r="N86">
        <f>COUNTIFS($B$2:$B$601,B86,$J$2:$J$601,"&lt;"&amp;J86)+1</f>
        <v/>
      </c>
      <c r="O86">
        <f>ROUND(COUNTIF($B$2:$B$601,B86)/600*60,0)</f>
        <v/>
      </c>
      <c r="P86">
        <f>IF(N86&lt;=O86,1,0)</f>
        <v/>
      </c>
      <c r="Q86">
        <f>IF(OR(C86=4,C86=15,C86=27),1,0)</f>
        <v/>
      </c>
      <c r="R86">
        <f>IF(I86&lt;=60,1,0)</f>
        <v/>
      </c>
    </row>
    <row r="87">
      <c r="A87" t="n">
        <v>86</v>
      </c>
      <c r="B87" t="n">
        <v>1</v>
      </c>
      <c r="C87" t="n">
        <v>5</v>
      </c>
      <c r="D87" t="n">
        <v>1</v>
      </c>
      <c r="E87" t="n">
        <v>58</v>
      </c>
      <c r="F87" t="n">
        <v>0</v>
      </c>
      <c r="G87" t="n">
        <v>145</v>
      </c>
      <c r="H87" t="n">
        <v>1</v>
      </c>
      <c r="I87" t="n">
        <v>56</v>
      </c>
      <c r="J87" t="n">
        <v>0.091501</v>
      </c>
      <c r="K87">
        <f>RANK(J87,$J$2:$J$601,1)</f>
        <v/>
      </c>
      <c r="L87">
        <f>IF(K87&lt;=60,1,0)</f>
        <v/>
      </c>
      <c r="M87">
        <f>IF(MOD(A87-7,10)=0,1,0)</f>
        <v/>
      </c>
      <c r="N87">
        <f>COUNTIFS($B$2:$B$601,B87,$J$2:$J$601,"&lt;"&amp;J87)+1</f>
        <v/>
      </c>
      <c r="O87">
        <f>ROUND(COUNTIF($B$2:$B$601,B87)/600*60,0)</f>
        <v/>
      </c>
      <c r="P87">
        <f>IF(N87&lt;=O87,1,0)</f>
        <v/>
      </c>
      <c r="Q87">
        <f>IF(OR(C87=4,C87=15,C87=27),1,0)</f>
        <v/>
      </c>
      <c r="R87">
        <f>IF(I87&lt;=60,1,0)</f>
        <v/>
      </c>
    </row>
    <row r="88">
      <c r="A88" t="n">
        <v>87</v>
      </c>
      <c r="B88" t="n">
        <v>1</v>
      </c>
      <c r="C88" t="n">
        <v>5</v>
      </c>
      <c r="D88" t="n">
        <v>1</v>
      </c>
      <c r="E88" t="n">
        <v>42</v>
      </c>
      <c r="F88" t="n">
        <v>0</v>
      </c>
      <c r="G88" t="n">
        <v>135</v>
      </c>
      <c r="H88" t="n">
        <v>0</v>
      </c>
      <c r="I88" t="n">
        <v>453</v>
      </c>
      <c r="J88" t="n">
        <v>0.659815</v>
      </c>
      <c r="K88">
        <f>RANK(J88,$J$2:$J$601,1)</f>
        <v/>
      </c>
      <c r="L88">
        <f>IF(K88&lt;=60,1,0)</f>
        <v/>
      </c>
      <c r="M88">
        <f>IF(MOD(A88-7,10)=0,1,0)</f>
        <v/>
      </c>
      <c r="N88">
        <f>COUNTIFS($B$2:$B$601,B88,$J$2:$J$601,"&lt;"&amp;J88)+1</f>
        <v/>
      </c>
      <c r="O88">
        <f>ROUND(COUNTIF($B$2:$B$601,B88)/600*60,0)</f>
        <v/>
      </c>
      <c r="P88">
        <f>IF(N88&lt;=O88,1,0)</f>
        <v/>
      </c>
      <c r="Q88">
        <f>IF(OR(C88=4,C88=15,C88=27),1,0)</f>
        <v/>
      </c>
      <c r="R88">
        <f>IF(I88&lt;=60,1,0)</f>
        <v/>
      </c>
    </row>
    <row r="89">
      <c r="A89" t="n">
        <v>88</v>
      </c>
      <c r="B89" t="n">
        <v>1</v>
      </c>
      <c r="C89" t="n">
        <v>5</v>
      </c>
      <c r="D89" t="n">
        <v>1</v>
      </c>
      <c r="E89" t="n">
        <v>70</v>
      </c>
      <c r="F89" t="n">
        <v>0</v>
      </c>
      <c r="G89" t="n">
        <v>136</v>
      </c>
      <c r="H89" t="n">
        <v>0</v>
      </c>
      <c r="I89" t="n">
        <v>308</v>
      </c>
      <c r="J89" t="n">
        <v>0.64457</v>
      </c>
      <c r="K89">
        <f>RANK(J89,$J$2:$J$601,1)</f>
        <v/>
      </c>
      <c r="L89">
        <f>IF(K89&lt;=60,1,0)</f>
        <v/>
      </c>
      <c r="M89">
        <f>IF(MOD(A89-7,10)=0,1,0)</f>
        <v/>
      </c>
      <c r="N89">
        <f>COUNTIFS($B$2:$B$601,B89,$J$2:$J$601,"&lt;"&amp;J89)+1</f>
        <v/>
      </c>
      <c r="O89">
        <f>ROUND(COUNTIF($B$2:$B$601,B89)/600*60,0)</f>
        <v/>
      </c>
      <c r="P89">
        <f>IF(N89&lt;=O89,1,0)</f>
        <v/>
      </c>
      <c r="Q89">
        <f>IF(OR(C89=4,C89=15,C89=27),1,0)</f>
        <v/>
      </c>
      <c r="R89">
        <f>IF(I89&lt;=60,1,0)</f>
        <v/>
      </c>
    </row>
    <row r="90">
      <c r="A90" t="n">
        <v>89</v>
      </c>
      <c r="B90" t="n">
        <v>1</v>
      </c>
      <c r="C90" t="n">
        <v>5</v>
      </c>
      <c r="D90" t="n">
        <v>1</v>
      </c>
      <c r="E90" t="n">
        <v>37</v>
      </c>
      <c r="F90" t="n">
        <v>0</v>
      </c>
      <c r="G90" t="n">
        <v>105</v>
      </c>
      <c r="H90" t="n">
        <v>0</v>
      </c>
      <c r="I90" t="n">
        <v>471</v>
      </c>
      <c r="J90" t="n">
        <v>0.380646</v>
      </c>
      <c r="K90">
        <f>RANK(J90,$J$2:$J$601,1)</f>
        <v/>
      </c>
      <c r="L90">
        <f>IF(K90&lt;=60,1,0)</f>
        <v/>
      </c>
      <c r="M90">
        <f>IF(MOD(A90-7,10)=0,1,0)</f>
        <v/>
      </c>
      <c r="N90">
        <f>COUNTIFS($B$2:$B$601,B90,$J$2:$J$601,"&lt;"&amp;J90)+1</f>
        <v/>
      </c>
      <c r="O90">
        <f>ROUND(COUNTIF($B$2:$B$601,B90)/600*60,0)</f>
        <v/>
      </c>
      <c r="P90">
        <f>IF(N90&lt;=O90,1,0)</f>
        <v/>
      </c>
      <c r="Q90">
        <f>IF(OR(C90=4,C90=15,C90=27),1,0)</f>
        <v/>
      </c>
      <c r="R90">
        <f>IF(I90&lt;=60,1,0)</f>
        <v/>
      </c>
    </row>
    <row r="91">
      <c r="A91" t="n">
        <v>90</v>
      </c>
      <c r="B91" t="n">
        <v>1</v>
      </c>
      <c r="C91" t="n">
        <v>5</v>
      </c>
      <c r="D91" t="n">
        <v>1</v>
      </c>
      <c r="E91" t="n">
        <v>71</v>
      </c>
      <c r="F91" t="n">
        <v>0</v>
      </c>
      <c r="G91" t="n">
        <v>159</v>
      </c>
      <c r="H91" t="n">
        <v>1</v>
      </c>
      <c r="I91" t="n">
        <v>35</v>
      </c>
      <c r="J91" t="n">
        <v>0.033322</v>
      </c>
      <c r="K91">
        <f>RANK(J91,$J$2:$J$601,1)</f>
        <v/>
      </c>
      <c r="L91">
        <f>IF(K91&lt;=60,1,0)</f>
        <v/>
      </c>
      <c r="M91">
        <f>IF(MOD(A91-7,10)=0,1,0)</f>
        <v/>
      </c>
      <c r="N91">
        <f>COUNTIFS($B$2:$B$601,B91,$J$2:$J$601,"&lt;"&amp;J91)+1</f>
        <v/>
      </c>
      <c r="O91">
        <f>ROUND(COUNTIF($B$2:$B$601,B91)/600*60,0)</f>
        <v/>
      </c>
      <c r="P91">
        <f>IF(N91&lt;=O91,1,0)</f>
        <v/>
      </c>
      <c r="Q91">
        <f>IF(OR(C91=4,C91=15,C91=27),1,0)</f>
        <v/>
      </c>
      <c r="R91">
        <f>IF(I91&lt;=60,1,0)</f>
        <v/>
      </c>
    </row>
    <row r="92">
      <c r="A92" t="n">
        <v>91</v>
      </c>
      <c r="B92" t="n">
        <v>1</v>
      </c>
      <c r="C92" t="n">
        <v>5</v>
      </c>
      <c r="D92" t="n">
        <v>1</v>
      </c>
      <c r="E92" t="n">
        <v>68</v>
      </c>
      <c r="F92" t="n">
        <v>0</v>
      </c>
      <c r="G92" t="n">
        <v>137</v>
      </c>
      <c r="H92" t="n">
        <v>0</v>
      </c>
      <c r="I92" t="n">
        <v>384</v>
      </c>
      <c r="J92" t="n">
        <v>0.541467</v>
      </c>
      <c r="K92">
        <f>RANK(J92,$J$2:$J$601,1)</f>
        <v/>
      </c>
      <c r="L92">
        <f>IF(K92&lt;=60,1,0)</f>
        <v/>
      </c>
      <c r="M92">
        <f>IF(MOD(A92-7,10)=0,1,0)</f>
        <v/>
      </c>
      <c r="N92">
        <f>COUNTIFS($B$2:$B$601,B92,$J$2:$J$601,"&lt;"&amp;J92)+1</f>
        <v/>
      </c>
      <c r="O92">
        <f>ROUND(COUNTIF($B$2:$B$601,B92)/600*60,0)</f>
        <v/>
      </c>
      <c r="P92">
        <f>IF(N92&lt;=O92,1,0)</f>
        <v/>
      </c>
      <c r="Q92">
        <f>IF(OR(C92=4,C92=15,C92=27),1,0)</f>
        <v/>
      </c>
      <c r="R92">
        <f>IF(I92&lt;=60,1,0)</f>
        <v/>
      </c>
    </row>
    <row r="93">
      <c r="A93" t="n">
        <v>92</v>
      </c>
      <c r="B93" t="n">
        <v>1</v>
      </c>
      <c r="C93" t="n">
        <v>5</v>
      </c>
      <c r="D93" t="n">
        <v>1</v>
      </c>
      <c r="E93" t="n">
        <v>80</v>
      </c>
      <c r="F93" t="n">
        <v>0</v>
      </c>
      <c r="G93" t="n">
        <v>148</v>
      </c>
      <c r="H93" t="n">
        <v>1</v>
      </c>
      <c r="I93" t="n">
        <v>188</v>
      </c>
      <c r="J93" t="n">
        <v>0.570536</v>
      </c>
      <c r="K93">
        <f>RANK(J93,$J$2:$J$601,1)</f>
        <v/>
      </c>
      <c r="L93">
        <f>IF(K93&lt;=60,1,0)</f>
        <v/>
      </c>
      <c r="M93">
        <f>IF(MOD(A93-7,10)=0,1,0)</f>
        <v/>
      </c>
      <c r="N93">
        <f>COUNTIFS($B$2:$B$601,B93,$J$2:$J$601,"&lt;"&amp;J93)+1</f>
        <v/>
      </c>
      <c r="O93">
        <f>ROUND(COUNTIF($B$2:$B$601,B93)/600*60,0)</f>
        <v/>
      </c>
      <c r="P93">
        <f>IF(N93&lt;=O93,1,0)</f>
        <v/>
      </c>
      <c r="Q93">
        <f>IF(OR(C93=4,C93=15,C93=27),1,0)</f>
        <v/>
      </c>
      <c r="R93">
        <f>IF(I93&lt;=60,1,0)</f>
        <v/>
      </c>
    </row>
    <row r="94">
      <c r="A94" t="n">
        <v>93</v>
      </c>
      <c r="B94" t="n">
        <v>1</v>
      </c>
      <c r="C94" t="n">
        <v>5</v>
      </c>
      <c r="D94" t="n">
        <v>1</v>
      </c>
      <c r="E94" t="n">
        <v>41</v>
      </c>
      <c r="F94" t="n">
        <v>0</v>
      </c>
      <c r="G94" t="n">
        <v>127</v>
      </c>
      <c r="H94" t="n">
        <v>0</v>
      </c>
      <c r="I94" t="n">
        <v>170</v>
      </c>
      <c r="J94" t="n">
        <v>0.378679</v>
      </c>
      <c r="K94">
        <f>RANK(J94,$J$2:$J$601,1)</f>
        <v/>
      </c>
      <c r="L94">
        <f>IF(K94&lt;=60,1,0)</f>
        <v/>
      </c>
      <c r="M94">
        <f>IF(MOD(A94-7,10)=0,1,0)</f>
        <v/>
      </c>
      <c r="N94">
        <f>COUNTIFS($B$2:$B$601,B94,$J$2:$J$601,"&lt;"&amp;J94)+1</f>
        <v/>
      </c>
      <c r="O94">
        <f>ROUND(COUNTIF($B$2:$B$601,B94)/600*60,0)</f>
        <v/>
      </c>
      <c r="P94">
        <f>IF(N94&lt;=O94,1,0)</f>
        <v/>
      </c>
      <c r="Q94">
        <f>IF(OR(C94=4,C94=15,C94=27),1,0)</f>
        <v/>
      </c>
      <c r="R94">
        <f>IF(I94&lt;=60,1,0)</f>
        <v/>
      </c>
    </row>
    <row r="95">
      <c r="A95" t="n">
        <v>94</v>
      </c>
      <c r="B95" t="n">
        <v>1</v>
      </c>
      <c r="C95" t="n">
        <v>5</v>
      </c>
      <c r="D95" t="n">
        <v>1</v>
      </c>
      <c r="E95" t="n">
        <v>64</v>
      </c>
      <c r="F95" t="n">
        <v>0</v>
      </c>
      <c r="G95" t="n">
        <v>124</v>
      </c>
      <c r="H95" t="n">
        <v>0</v>
      </c>
      <c r="I95" t="n">
        <v>239</v>
      </c>
      <c r="J95" t="n">
        <v>0.299615</v>
      </c>
      <c r="K95">
        <f>RANK(J95,$J$2:$J$601,1)</f>
        <v/>
      </c>
      <c r="L95">
        <f>IF(K95&lt;=60,1,0)</f>
        <v/>
      </c>
      <c r="M95">
        <f>IF(MOD(A95-7,10)=0,1,0)</f>
        <v/>
      </c>
      <c r="N95">
        <f>COUNTIFS($B$2:$B$601,B95,$J$2:$J$601,"&lt;"&amp;J95)+1</f>
        <v/>
      </c>
      <c r="O95">
        <f>ROUND(COUNTIF($B$2:$B$601,B95)/600*60,0)</f>
        <v/>
      </c>
      <c r="P95">
        <f>IF(N95&lt;=O95,1,0)</f>
        <v/>
      </c>
      <c r="Q95">
        <f>IF(OR(C95=4,C95=15,C95=27),1,0)</f>
        <v/>
      </c>
      <c r="R95">
        <f>IF(I95&lt;=60,1,0)</f>
        <v/>
      </c>
    </row>
    <row r="96">
      <c r="A96" t="n">
        <v>95</v>
      </c>
      <c r="B96" t="n">
        <v>1</v>
      </c>
      <c r="C96" t="n">
        <v>5</v>
      </c>
      <c r="D96" t="n">
        <v>1</v>
      </c>
      <c r="E96" t="n">
        <v>70</v>
      </c>
      <c r="F96" t="n">
        <v>0</v>
      </c>
      <c r="G96" t="n">
        <v>121</v>
      </c>
      <c r="H96" t="n">
        <v>0</v>
      </c>
      <c r="I96" t="n">
        <v>225</v>
      </c>
      <c r="J96" t="n">
        <v>0.152756</v>
      </c>
      <c r="K96">
        <f>RANK(J96,$J$2:$J$601,1)</f>
        <v/>
      </c>
      <c r="L96">
        <f>IF(K96&lt;=60,1,0)</f>
        <v/>
      </c>
      <c r="M96">
        <f>IF(MOD(A96-7,10)=0,1,0)</f>
        <v/>
      </c>
      <c r="N96">
        <f>COUNTIFS($B$2:$B$601,B96,$J$2:$J$601,"&lt;"&amp;J96)+1</f>
        <v/>
      </c>
      <c r="O96">
        <f>ROUND(COUNTIF($B$2:$B$601,B96)/600*60,0)</f>
        <v/>
      </c>
      <c r="P96">
        <f>IF(N96&lt;=O96,1,0)</f>
        <v/>
      </c>
      <c r="Q96">
        <f>IF(OR(C96=4,C96=15,C96=27),1,0)</f>
        <v/>
      </c>
      <c r="R96">
        <f>IF(I96&lt;=60,1,0)</f>
        <v/>
      </c>
    </row>
    <row r="97">
      <c r="A97" t="n">
        <v>96</v>
      </c>
      <c r="B97" t="n">
        <v>1</v>
      </c>
      <c r="C97" t="n">
        <v>5</v>
      </c>
      <c r="D97" t="n">
        <v>1</v>
      </c>
      <c r="E97" t="n">
        <v>46</v>
      </c>
      <c r="F97" t="n">
        <v>0</v>
      </c>
      <c r="G97" t="n">
        <v>140</v>
      </c>
      <c r="H97" t="n">
        <v>1</v>
      </c>
      <c r="I97" t="n">
        <v>332</v>
      </c>
      <c r="J97" t="n">
        <v>0.124013</v>
      </c>
      <c r="K97">
        <f>RANK(J97,$J$2:$J$601,1)</f>
        <v/>
      </c>
      <c r="L97">
        <f>IF(K97&lt;=60,1,0)</f>
        <v/>
      </c>
      <c r="M97">
        <f>IF(MOD(A97-7,10)=0,1,0)</f>
        <v/>
      </c>
      <c r="N97">
        <f>COUNTIFS($B$2:$B$601,B97,$J$2:$J$601,"&lt;"&amp;J97)+1</f>
        <v/>
      </c>
      <c r="O97">
        <f>ROUND(COUNTIF($B$2:$B$601,B97)/600*60,0)</f>
        <v/>
      </c>
      <c r="P97">
        <f>IF(N97&lt;=O97,1,0)</f>
        <v/>
      </c>
      <c r="Q97">
        <f>IF(OR(C97=4,C97=15,C97=27),1,0)</f>
        <v/>
      </c>
      <c r="R97">
        <f>IF(I97&lt;=60,1,0)</f>
        <v/>
      </c>
    </row>
    <row r="98">
      <c r="A98" t="n">
        <v>97</v>
      </c>
      <c r="B98" t="n">
        <v>1</v>
      </c>
      <c r="C98" t="n">
        <v>5</v>
      </c>
      <c r="D98" t="n">
        <v>2</v>
      </c>
      <c r="E98" t="n">
        <v>37</v>
      </c>
      <c r="F98" t="n">
        <v>0</v>
      </c>
      <c r="G98" t="n">
        <v>120</v>
      </c>
      <c r="H98" t="n">
        <v>0</v>
      </c>
      <c r="I98" t="n">
        <v>449</v>
      </c>
      <c r="J98" t="n">
        <v>0.768907</v>
      </c>
      <c r="K98">
        <f>RANK(J98,$J$2:$J$601,1)</f>
        <v/>
      </c>
      <c r="L98">
        <f>IF(K98&lt;=60,1,0)</f>
        <v/>
      </c>
      <c r="M98">
        <f>IF(MOD(A98-7,10)=0,1,0)</f>
        <v/>
      </c>
      <c r="N98">
        <f>COUNTIFS($B$2:$B$601,B98,$J$2:$J$601,"&lt;"&amp;J98)+1</f>
        <v/>
      </c>
      <c r="O98">
        <f>ROUND(COUNTIF($B$2:$B$601,B98)/600*60,0)</f>
        <v/>
      </c>
      <c r="P98">
        <f>IF(N98&lt;=O98,1,0)</f>
        <v/>
      </c>
      <c r="Q98">
        <f>IF(OR(C98=4,C98=15,C98=27),1,0)</f>
        <v/>
      </c>
      <c r="R98">
        <f>IF(I98&lt;=60,1,0)</f>
        <v/>
      </c>
    </row>
    <row r="99">
      <c r="A99" t="n">
        <v>98</v>
      </c>
      <c r="B99" t="n">
        <v>1</v>
      </c>
      <c r="C99" t="n">
        <v>5</v>
      </c>
      <c r="D99" t="n">
        <v>2</v>
      </c>
      <c r="E99" t="n">
        <v>33</v>
      </c>
      <c r="F99" t="n">
        <v>0</v>
      </c>
      <c r="G99" t="n">
        <v>124</v>
      </c>
      <c r="H99" t="n">
        <v>0</v>
      </c>
      <c r="I99" t="n">
        <v>496</v>
      </c>
      <c r="J99" t="n">
        <v>0.706772</v>
      </c>
      <c r="K99">
        <f>RANK(J99,$J$2:$J$601,1)</f>
        <v/>
      </c>
      <c r="L99">
        <f>IF(K99&lt;=60,1,0)</f>
        <v/>
      </c>
      <c r="M99">
        <f>IF(MOD(A99-7,10)=0,1,0)</f>
        <v/>
      </c>
      <c r="N99">
        <f>COUNTIFS($B$2:$B$601,B99,$J$2:$J$601,"&lt;"&amp;J99)+1</f>
        <v/>
      </c>
      <c r="O99">
        <f>ROUND(COUNTIF($B$2:$B$601,B99)/600*60,0)</f>
        <v/>
      </c>
      <c r="P99">
        <f>IF(N99&lt;=O99,1,0)</f>
        <v/>
      </c>
      <c r="Q99">
        <f>IF(OR(C99=4,C99=15,C99=27),1,0)</f>
        <v/>
      </c>
      <c r="R99">
        <f>IF(I99&lt;=60,1,0)</f>
        <v/>
      </c>
    </row>
    <row r="100">
      <c r="A100" t="n">
        <v>99</v>
      </c>
      <c r="B100" t="n">
        <v>1</v>
      </c>
      <c r="C100" t="n">
        <v>5</v>
      </c>
      <c r="D100" t="n">
        <v>2</v>
      </c>
      <c r="E100" t="n">
        <v>41</v>
      </c>
      <c r="F100" t="n">
        <v>1</v>
      </c>
      <c r="G100" t="n">
        <v>123</v>
      </c>
      <c r="H100" t="n">
        <v>0</v>
      </c>
      <c r="I100" t="n">
        <v>489</v>
      </c>
      <c r="J100" t="n">
        <v>0.61487</v>
      </c>
      <c r="K100">
        <f>RANK(J100,$J$2:$J$601,1)</f>
        <v/>
      </c>
      <c r="L100">
        <f>IF(K100&lt;=60,1,0)</f>
        <v/>
      </c>
      <c r="M100">
        <f>IF(MOD(A100-7,10)=0,1,0)</f>
        <v/>
      </c>
      <c r="N100">
        <f>COUNTIFS($B$2:$B$601,B100,$J$2:$J$601,"&lt;"&amp;J100)+1</f>
        <v/>
      </c>
      <c r="O100">
        <f>ROUND(COUNTIF($B$2:$B$601,B100)/600*60,0)</f>
        <v/>
      </c>
      <c r="P100">
        <f>IF(N100&lt;=O100,1,0)</f>
        <v/>
      </c>
      <c r="Q100">
        <f>IF(OR(C100=4,C100=15,C100=27),1,0)</f>
        <v/>
      </c>
      <c r="R100">
        <f>IF(I100&lt;=60,1,0)</f>
        <v/>
      </c>
    </row>
    <row r="101">
      <c r="A101" t="n">
        <v>100</v>
      </c>
      <c r="B101" t="n">
        <v>1</v>
      </c>
      <c r="C101" t="n">
        <v>5</v>
      </c>
      <c r="D101" t="n">
        <v>2</v>
      </c>
      <c r="E101" t="n">
        <v>55</v>
      </c>
      <c r="F101" t="n">
        <v>0</v>
      </c>
      <c r="G101" t="n">
        <v>123</v>
      </c>
      <c r="H101" t="n">
        <v>0</v>
      </c>
      <c r="I101" t="n">
        <v>414</v>
      </c>
      <c r="J101" t="n">
        <v>0.230574</v>
      </c>
      <c r="K101">
        <f>RANK(J101,$J$2:$J$601,1)</f>
        <v/>
      </c>
      <c r="L101">
        <f>IF(K101&lt;=60,1,0)</f>
        <v/>
      </c>
      <c r="M101">
        <f>IF(MOD(A101-7,10)=0,1,0)</f>
        <v/>
      </c>
      <c r="N101">
        <f>COUNTIFS($B$2:$B$601,B101,$J$2:$J$601,"&lt;"&amp;J101)+1</f>
        <v/>
      </c>
      <c r="O101">
        <f>ROUND(COUNTIF($B$2:$B$601,B101)/600*60,0)</f>
        <v/>
      </c>
      <c r="P101">
        <f>IF(N101&lt;=O101,1,0)</f>
        <v/>
      </c>
      <c r="Q101">
        <f>IF(OR(C101=4,C101=15,C101=27),1,0)</f>
        <v/>
      </c>
      <c r="R101">
        <f>IF(I101&lt;=60,1,0)</f>
        <v/>
      </c>
    </row>
    <row r="102">
      <c r="A102" t="n">
        <v>101</v>
      </c>
      <c r="B102" t="n">
        <v>1</v>
      </c>
      <c r="C102" t="n">
        <v>6</v>
      </c>
      <c r="D102" t="n">
        <v>2</v>
      </c>
      <c r="E102" t="n">
        <v>61</v>
      </c>
      <c r="F102" t="n">
        <v>0</v>
      </c>
      <c r="G102" t="n">
        <v>122</v>
      </c>
      <c r="H102" t="n">
        <v>0</v>
      </c>
      <c r="I102" t="n">
        <v>134</v>
      </c>
      <c r="J102" t="n">
        <v>0.340755</v>
      </c>
      <c r="K102">
        <f>RANK(J102,$J$2:$J$601,1)</f>
        <v/>
      </c>
      <c r="L102">
        <f>IF(K102&lt;=60,1,0)</f>
        <v/>
      </c>
      <c r="M102">
        <f>IF(MOD(A102-7,10)=0,1,0)</f>
        <v/>
      </c>
      <c r="N102">
        <f>COUNTIFS($B$2:$B$601,B102,$J$2:$J$601,"&lt;"&amp;J102)+1</f>
        <v/>
      </c>
      <c r="O102">
        <f>ROUND(COUNTIF($B$2:$B$601,B102)/600*60,0)</f>
        <v/>
      </c>
      <c r="P102">
        <f>IF(N102&lt;=O102,1,0)</f>
        <v/>
      </c>
      <c r="Q102">
        <f>IF(OR(C102=4,C102=15,C102=27),1,0)</f>
        <v/>
      </c>
      <c r="R102">
        <f>IF(I102&lt;=60,1,0)</f>
        <v/>
      </c>
    </row>
    <row r="103">
      <c r="A103" t="n">
        <v>102</v>
      </c>
      <c r="B103" t="n">
        <v>1</v>
      </c>
      <c r="C103" t="n">
        <v>6</v>
      </c>
      <c r="D103" t="n">
        <v>1</v>
      </c>
      <c r="E103" t="n">
        <v>68</v>
      </c>
      <c r="F103" t="n">
        <v>0</v>
      </c>
      <c r="G103" t="n">
        <v>141</v>
      </c>
      <c r="H103" t="n">
        <v>1</v>
      </c>
      <c r="I103" t="n">
        <v>331</v>
      </c>
      <c r="J103" t="n">
        <v>0.311299</v>
      </c>
      <c r="K103">
        <f>RANK(J103,$J$2:$J$601,1)</f>
        <v/>
      </c>
      <c r="L103">
        <f>IF(K103&lt;=60,1,0)</f>
        <v/>
      </c>
      <c r="M103">
        <f>IF(MOD(A103-7,10)=0,1,0)</f>
        <v/>
      </c>
      <c r="N103">
        <f>COUNTIFS($B$2:$B$601,B103,$J$2:$J$601,"&lt;"&amp;J103)+1</f>
        <v/>
      </c>
      <c r="O103">
        <f>ROUND(COUNTIF($B$2:$B$601,B103)/600*60,0)</f>
        <v/>
      </c>
      <c r="P103">
        <f>IF(N103&lt;=O103,1,0)</f>
        <v/>
      </c>
      <c r="Q103">
        <f>IF(OR(C103=4,C103=15,C103=27),1,0)</f>
        <v/>
      </c>
      <c r="R103">
        <f>IF(I103&lt;=60,1,0)</f>
        <v/>
      </c>
    </row>
    <row r="104">
      <c r="A104" t="n">
        <v>103</v>
      </c>
      <c r="B104" t="n">
        <v>1</v>
      </c>
      <c r="C104" t="n">
        <v>6</v>
      </c>
      <c r="D104" t="n">
        <v>2</v>
      </c>
      <c r="E104" t="n">
        <v>70</v>
      </c>
      <c r="F104" t="n">
        <v>1</v>
      </c>
      <c r="G104" t="n">
        <v>167</v>
      </c>
      <c r="H104" t="n">
        <v>1</v>
      </c>
      <c r="I104" t="n">
        <v>18</v>
      </c>
      <c r="J104" t="n">
        <v>0.395204</v>
      </c>
      <c r="K104">
        <f>RANK(J104,$J$2:$J$601,1)</f>
        <v/>
      </c>
      <c r="L104">
        <f>IF(K104&lt;=60,1,0)</f>
        <v/>
      </c>
      <c r="M104">
        <f>IF(MOD(A104-7,10)=0,1,0)</f>
        <v/>
      </c>
      <c r="N104">
        <f>COUNTIFS($B$2:$B$601,B104,$J$2:$J$601,"&lt;"&amp;J104)+1</f>
        <v/>
      </c>
      <c r="O104">
        <f>ROUND(COUNTIF($B$2:$B$601,B104)/600*60,0)</f>
        <v/>
      </c>
      <c r="P104">
        <f>IF(N104&lt;=O104,1,0)</f>
        <v/>
      </c>
      <c r="Q104">
        <f>IF(OR(C104=4,C104=15,C104=27),1,0)</f>
        <v/>
      </c>
      <c r="R104">
        <f>IF(I104&lt;=60,1,0)</f>
        <v/>
      </c>
    </row>
    <row r="105">
      <c r="A105" t="n">
        <v>104</v>
      </c>
      <c r="B105" t="n">
        <v>1</v>
      </c>
      <c r="C105" t="n">
        <v>6</v>
      </c>
      <c r="D105" t="n">
        <v>1</v>
      </c>
      <c r="E105" t="n">
        <v>32</v>
      </c>
      <c r="F105" t="n">
        <v>0</v>
      </c>
      <c r="G105" t="n">
        <v>119</v>
      </c>
      <c r="H105" t="n">
        <v>0</v>
      </c>
      <c r="I105" t="n">
        <v>539</v>
      </c>
      <c r="J105" t="n">
        <v>0.009079</v>
      </c>
      <c r="K105">
        <f>RANK(J105,$J$2:$J$601,1)</f>
        <v/>
      </c>
      <c r="L105">
        <f>IF(K105&lt;=60,1,0)</f>
        <v/>
      </c>
      <c r="M105">
        <f>IF(MOD(A105-7,10)=0,1,0)</f>
        <v/>
      </c>
      <c r="N105">
        <f>COUNTIFS($B$2:$B$601,B105,$J$2:$J$601,"&lt;"&amp;J105)+1</f>
        <v/>
      </c>
      <c r="O105">
        <f>ROUND(COUNTIF($B$2:$B$601,B105)/600*60,0)</f>
        <v/>
      </c>
      <c r="P105">
        <f>IF(N105&lt;=O105,1,0)</f>
        <v/>
      </c>
      <c r="Q105">
        <f>IF(OR(C105=4,C105=15,C105=27),1,0)</f>
        <v/>
      </c>
      <c r="R105">
        <f>IF(I105&lt;=60,1,0)</f>
        <v/>
      </c>
    </row>
    <row r="106">
      <c r="A106" t="n">
        <v>105</v>
      </c>
      <c r="B106" t="n">
        <v>1</v>
      </c>
      <c r="C106" t="n">
        <v>6</v>
      </c>
      <c r="D106" t="n">
        <v>2</v>
      </c>
      <c r="E106" t="n">
        <v>67</v>
      </c>
      <c r="F106" t="n">
        <v>0</v>
      </c>
      <c r="G106" t="n">
        <v>136</v>
      </c>
      <c r="H106" t="n">
        <v>0</v>
      </c>
      <c r="I106" t="n">
        <v>452</v>
      </c>
      <c r="J106" t="n">
        <v>0.669462</v>
      </c>
      <c r="K106">
        <f>RANK(J106,$J$2:$J$601,1)</f>
        <v/>
      </c>
      <c r="L106">
        <f>IF(K106&lt;=60,1,0)</f>
        <v/>
      </c>
      <c r="M106">
        <f>IF(MOD(A106-7,10)=0,1,0)</f>
        <v/>
      </c>
      <c r="N106">
        <f>COUNTIFS($B$2:$B$601,B106,$J$2:$J$601,"&lt;"&amp;J106)+1</f>
        <v/>
      </c>
      <c r="O106">
        <f>ROUND(COUNTIF($B$2:$B$601,B106)/600*60,0)</f>
        <v/>
      </c>
      <c r="P106">
        <f>IF(N106&lt;=O106,1,0)</f>
        <v/>
      </c>
      <c r="Q106">
        <f>IF(OR(C106=4,C106=15,C106=27),1,0)</f>
        <v/>
      </c>
      <c r="R106">
        <f>IF(I106&lt;=60,1,0)</f>
        <v/>
      </c>
    </row>
    <row r="107">
      <c r="A107" t="n">
        <v>106</v>
      </c>
      <c r="B107" t="n">
        <v>1</v>
      </c>
      <c r="C107" t="n">
        <v>6</v>
      </c>
      <c r="D107" t="n">
        <v>1</v>
      </c>
      <c r="E107" t="n">
        <v>51</v>
      </c>
      <c r="F107" t="n">
        <v>0</v>
      </c>
      <c r="G107" t="n">
        <v>120</v>
      </c>
      <c r="H107" t="n">
        <v>0</v>
      </c>
      <c r="I107" t="n">
        <v>535</v>
      </c>
      <c r="J107" t="n">
        <v>0.280782</v>
      </c>
      <c r="K107">
        <f>RANK(J107,$J$2:$J$601,1)</f>
        <v/>
      </c>
      <c r="L107">
        <f>IF(K107&lt;=60,1,0)</f>
        <v/>
      </c>
      <c r="M107">
        <f>IF(MOD(A107-7,10)=0,1,0)</f>
        <v/>
      </c>
      <c r="N107">
        <f>COUNTIFS($B$2:$B$601,B107,$J$2:$J$601,"&lt;"&amp;J107)+1</f>
        <v/>
      </c>
      <c r="O107">
        <f>ROUND(COUNTIF($B$2:$B$601,B107)/600*60,0)</f>
        <v/>
      </c>
      <c r="P107">
        <f>IF(N107&lt;=O107,1,0)</f>
        <v/>
      </c>
      <c r="Q107">
        <f>IF(OR(C107=4,C107=15,C107=27),1,0)</f>
        <v/>
      </c>
      <c r="R107">
        <f>IF(I107&lt;=60,1,0)</f>
        <v/>
      </c>
    </row>
    <row r="108">
      <c r="A108" t="n">
        <v>107</v>
      </c>
      <c r="B108" t="n">
        <v>1</v>
      </c>
      <c r="C108" t="n">
        <v>6</v>
      </c>
      <c r="D108" t="n">
        <v>1</v>
      </c>
      <c r="E108" t="n">
        <v>58</v>
      </c>
      <c r="F108" t="n">
        <v>0</v>
      </c>
      <c r="G108" t="n">
        <v>119</v>
      </c>
      <c r="H108" t="n">
        <v>0</v>
      </c>
      <c r="I108" t="n">
        <v>438</v>
      </c>
      <c r="J108" t="n">
        <v>0.218571</v>
      </c>
      <c r="K108">
        <f>RANK(J108,$J$2:$J$601,1)</f>
        <v/>
      </c>
      <c r="L108">
        <f>IF(K108&lt;=60,1,0)</f>
        <v/>
      </c>
      <c r="M108">
        <f>IF(MOD(A108-7,10)=0,1,0)</f>
        <v/>
      </c>
      <c r="N108">
        <f>COUNTIFS($B$2:$B$601,B108,$J$2:$J$601,"&lt;"&amp;J108)+1</f>
        <v/>
      </c>
      <c r="O108">
        <f>ROUND(COUNTIF($B$2:$B$601,B108)/600*60,0)</f>
        <v/>
      </c>
      <c r="P108">
        <f>IF(N108&lt;=O108,1,0)</f>
        <v/>
      </c>
      <c r="Q108">
        <f>IF(OR(C108=4,C108=15,C108=27),1,0)</f>
        <v/>
      </c>
      <c r="R108">
        <f>IF(I108&lt;=60,1,0)</f>
        <v/>
      </c>
    </row>
    <row r="109">
      <c r="A109" t="n">
        <v>108</v>
      </c>
      <c r="B109" t="n">
        <v>1</v>
      </c>
      <c r="C109" t="n">
        <v>6</v>
      </c>
      <c r="D109" t="n">
        <v>1</v>
      </c>
      <c r="E109" t="n">
        <v>73</v>
      </c>
      <c r="F109" t="n">
        <v>0</v>
      </c>
      <c r="G109" t="n">
        <v>153</v>
      </c>
      <c r="H109" t="n">
        <v>1</v>
      </c>
      <c r="I109" t="n">
        <v>157</v>
      </c>
      <c r="J109" t="n">
        <v>0.353396</v>
      </c>
      <c r="K109">
        <f>RANK(J109,$J$2:$J$601,1)</f>
        <v/>
      </c>
      <c r="L109">
        <f>IF(K109&lt;=60,1,0)</f>
        <v/>
      </c>
      <c r="M109">
        <f>IF(MOD(A109-7,10)=0,1,0)</f>
        <v/>
      </c>
      <c r="N109">
        <f>COUNTIFS($B$2:$B$601,B109,$J$2:$J$601,"&lt;"&amp;J109)+1</f>
        <v/>
      </c>
      <c r="O109">
        <f>ROUND(COUNTIF($B$2:$B$601,B109)/600*60,0)</f>
        <v/>
      </c>
      <c r="P109">
        <f>IF(N109&lt;=O109,1,0)</f>
        <v/>
      </c>
      <c r="Q109">
        <f>IF(OR(C109=4,C109=15,C109=27),1,0)</f>
        <v/>
      </c>
      <c r="R109">
        <f>IF(I109&lt;=60,1,0)</f>
        <v/>
      </c>
    </row>
    <row r="110">
      <c r="A110" t="n">
        <v>109</v>
      </c>
      <c r="B110" t="n">
        <v>1</v>
      </c>
      <c r="C110" t="n">
        <v>6</v>
      </c>
      <c r="D110" t="n">
        <v>2</v>
      </c>
      <c r="E110" t="n">
        <v>80</v>
      </c>
      <c r="F110" t="n">
        <v>0</v>
      </c>
      <c r="G110" t="n">
        <v>152</v>
      </c>
      <c r="H110" t="n">
        <v>1</v>
      </c>
      <c r="I110" t="n">
        <v>5</v>
      </c>
      <c r="J110" t="n">
        <v>0.313103</v>
      </c>
      <c r="K110">
        <f>RANK(J110,$J$2:$J$601,1)</f>
        <v/>
      </c>
      <c r="L110">
        <f>IF(K110&lt;=60,1,0)</f>
        <v/>
      </c>
      <c r="M110">
        <f>IF(MOD(A110-7,10)=0,1,0)</f>
        <v/>
      </c>
      <c r="N110">
        <f>COUNTIFS($B$2:$B$601,B110,$J$2:$J$601,"&lt;"&amp;J110)+1</f>
        <v/>
      </c>
      <c r="O110">
        <f>ROUND(COUNTIF($B$2:$B$601,B110)/600*60,0)</f>
        <v/>
      </c>
      <c r="P110">
        <f>IF(N110&lt;=O110,1,0)</f>
        <v/>
      </c>
      <c r="Q110">
        <f>IF(OR(C110=4,C110=15,C110=27),1,0)</f>
        <v/>
      </c>
      <c r="R110">
        <f>IF(I110&lt;=60,1,0)</f>
        <v/>
      </c>
    </row>
    <row r="111">
      <c r="A111" t="n">
        <v>110</v>
      </c>
      <c r="B111" t="n">
        <v>1</v>
      </c>
      <c r="C111" t="n">
        <v>6</v>
      </c>
      <c r="D111" t="n">
        <v>2</v>
      </c>
      <c r="E111" t="n">
        <v>76</v>
      </c>
      <c r="F111" t="n">
        <v>1</v>
      </c>
      <c r="G111" t="n">
        <v>146</v>
      </c>
      <c r="H111" t="n">
        <v>1</v>
      </c>
      <c r="I111" t="n">
        <v>67</v>
      </c>
      <c r="J111" t="n">
        <v>0.5651350000000001</v>
      </c>
      <c r="K111">
        <f>RANK(J111,$J$2:$J$601,1)</f>
        <v/>
      </c>
      <c r="L111">
        <f>IF(K111&lt;=60,1,0)</f>
        <v/>
      </c>
      <c r="M111">
        <f>IF(MOD(A111-7,10)=0,1,0)</f>
        <v/>
      </c>
      <c r="N111">
        <f>COUNTIFS($B$2:$B$601,B111,$J$2:$J$601,"&lt;"&amp;J111)+1</f>
        <v/>
      </c>
      <c r="O111">
        <f>ROUND(COUNTIF($B$2:$B$601,B111)/600*60,0)</f>
        <v/>
      </c>
      <c r="P111">
        <f>IF(N111&lt;=O111,1,0)</f>
        <v/>
      </c>
      <c r="Q111">
        <f>IF(OR(C111=4,C111=15,C111=27),1,0)</f>
        <v/>
      </c>
      <c r="R111">
        <f>IF(I111&lt;=60,1,0)</f>
        <v/>
      </c>
    </row>
    <row r="112">
      <c r="A112" t="n">
        <v>111</v>
      </c>
      <c r="B112" t="n">
        <v>1</v>
      </c>
      <c r="C112" t="n">
        <v>6</v>
      </c>
      <c r="D112" t="n">
        <v>1</v>
      </c>
      <c r="E112" t="n">
        <v>80</v>
      </c>
      <c r="F112" t="n">
        <v>0</v>
      </c>
      <c r="G112" t="n">
        <v>145</v>
      </c>
      <c r="H112" t="n">
        <v>1</v>
      </c>
      <c r="I112" t="n">
        <v>23</v>
      </c>
      <c r="J112" t="n">
        <v>0.36835</v>
      </c>
      <c r="K112">
        <f>RANK(J112,$J$2:$J$601,1)</f>
        <v/>
      </c>
      <c r="L112">
        <f>IF(K112&lt;=60,1,0)</f>
        <v/>
      </c>
      <c r="M112">
        <f>IF(MOD(A112-7,10)=0,1,0)</f>
        <v/>
      </c>
      <c r="N112">
        <f>COUNTIFS($B$2:$B$601,B112,$J$2:$J$601,"&lt;"&amp;J112)+1</f>
        <v/>
      </c>
      <c r="O112">
        <f>ROUND(COUNTIF($B$2:$B$601,B112)/600*60,0)</f>
        <v/>
      </c>
      <c r="P112">
        <f>IF(N112&lt;=O112,1,0)</f>
        <v/>
      </c>
      <c r="Q112">
        <f>IF(OR(C112=4,C112=15,C112=27),1,0)</f>
        <v/>
      </c>
      <c r="R112">
        <f>IF(I112&lt;=60,1,0)</f>
        <v/>
      </c>
    </row>
    <row r="113">
      <c r="A113" t="n">
        <v>112</v>
      </c>
      <c r="B113" t="n">
        <v>1</v>
      </c>
      <c r="C113" t="n">
        <v>6</v>
      </c>
      <c r="D113" t="n">
        <v>1</v>
      </c>
      <c r="E113" t="n">
        <v>67</v>
      </c>
      <c r="F113" t="n">
        <v>0</v>
      </c>
      <c r="G113" t="n">
        <v>126</v>
      </c>
      <c r="H113" t="n">
        <v>0</v>
      </c>
      <c r="I113" t="n">
        <v>222</v>
      </c>
      <c r="J113" t="n">
        <v>0.817976</v>
      </c>
      <c r="K113">
        <f>RANK(J113,$J$2:$J$601,1)</f>
        <v/>
      </c>
      <c r="L113">
        <f>IF(K113&lt;=60,1,0)</f>
        <v/>
      </c>
      <c r="M113">
        <f>IF(MOD(A113-7,10)=0,1,0)</f>
        <v/>
      </c>
      <c r="N113">
        <f>COUNTIFS($B$2:$B$601,B113,$J$2:$J$601,"&lt;"&amp;J113)+1</f>
        <v/>
      </c>
      <c r="O113">
        <f>ROUND(COUNTIF($B$2:$B$601,B113)/600*60,0)</f>
        <v/>
      </c>
      <c r="P113">
        <f>IF(N113&lt;=O113,1,0)</f>
        <v/>
      </c>
      <c r="Q113">
        <f>IF(OR(C113=4,C113=15,C113=27),1,0)</f>
        <v/>
      </c>
      <c r="R113">
        <f>IF(I113&lt;=60,1,0)</f>
        <v/>
      </c>
    </row>
    <row r="114">
      <c r="A114" t="n">
        <v>113</v>
      </c>
      <c r="B114" t="n">
        <v>1</v>
      </c>
      <c r="C114" t="n">
        <v>6</v>
      </c>
      <c r="D114" t="n">
        <v>1</v>
      </c>
      <c r="E114" t="n">
        <v>46</v>
      </c>
      <c r="F114" t="n">
        <v>1</v>
      </c>
      <c r="G114" t="n">
        <v>121</v>
      </c>
      <c r="H114" t="n">
        <v>0</v>
      </c>
      <c r="I114" t="n">
        <v>457</v>
      </c>
      <c r="J114" t="n">
        <v>0.386201</v>
      </c>
      <c r="K114">
        <f>RANK(J114,$J$2:$J$601,1)</f>
        <v/>
      </c>
      <c r="L114">
        <f>IF(K114&lt;=60,1,0)</f>
        <v/>
      </c>
      <c r="M114">
        <f>IF(MOD(A114-7,10)=0,1,0)</f>
        <v/>
      </c>
      <c r="N114">
        <f>COUNTIFS($B$2:$B$601,B114,$J$2:$J$601,"&lt;"&amp;J114)+1</f>
        <v/>
      </c>
      <c r="O114">
        <f>ROUND(COUNTIF($B$2:$B$601,B114)/600*60,0)</f>
        <v/>
      </c>
      <c r="P114">
        <f>IF(N114&lt;=O114,1,0)</f>
        <v/>
      </c>
      <c r="Q114">
        <f>IF(OR(C114=4,C114=15,C114=27),1,0)</f>
        <v/>
      </c>
      <c r="R114">
        <f>IF(I114&lt;=60,1,0)</f>
        <v/>
      </c>
    </row>
    <row r="115">
      <c r="A115" t="n">
        <v>114</v>
      </c>
      <c r="B115" t="n">
        <v>1</v>
      </c>
      <c r="C115" t="n">
        <v>6</v>
      </c>
      <c r="D115" t="n">
        <v>2</v>
      </c>
      <c r="E115" t="n">
        <v>56</v>
      </c>
      <c r="F115" t="n">
        <v>0</v>
      </c>
      <c r="G115" t="n">
        <v>139</v>
      </c>
      <c r="H115" t="n">
        <v>0</v>
      </c>
      <c r="I115" t="n">
        <v>525</v>
      </c>
      <c r="J115" t="n">
        <v>0.145672</v>
      </c>
      <c r="K115">
        <f>RANK(J115,$J$2:$J$601,1)</f>
        <v/>
      </c>
      <c r="L115">
        <f>IF(K115&lt;=60,1,0)</f>
        <v/>
      </c>
      <c r="M115">
        <f>IF(MOD(A115-7,10)=0,1,0)</f>
        <v/>
      </c>
      <c r="N115">
        <f>COUNTIFS($B$2:$B$601,B115,$J$2:$J$601,"&lt;"&amp;J115)+1</f>
        <v/>
      </c>
      <c r="O115">
        <f>ROUND(COUNTIF($B$2:$B$601,B115)/600*60,0)</f>
        <v/>
      </c>
      <c r="P115">
        <f>IF(N115&lt;=O115,1,0)</f>
        <v/>
      </c>
      <c r="Q115">
        <f>IF(OR(C115=4,C115=15,C115=27),1,0)</f>
        <v/>
      </c>
      <c r="R115">
        <f>IF(I115&lt;=60,1,0)</f>
        <v/>
      </c>
    </row>
    <row r="116">
      <c r="A116" t="n">
        <v>115</v>
      </c>
      <c r="B116" t="n">
        <v>1</v>
      </c>
      <c r="C116" t="n">
        <v>6</v>
      </c>
      <c r="D116" t="n">
        <v>1</v>
      </c>
      <c r="E116" t="n">
        <v>44</v>
      </c>
      <c r="F116" t="n">
        <v>0</v>
      </c>
      <c r="G116" t="n">
        <v>130</v>
      </c>
      <c r="H116" t="n">
        <v>0</v>
      </c>
      <c r="I116" t="n">
        <v>312</v>
      </c>
      <c r="J116" t="n">
        <v>0.776827</v>
      </c>
      <c r="K116">
        <f>RANK(J116,$J$2:$J$601,1)</f>
        <v/>
      </c>
      <c r="L116">
        <f>IF(K116&lt;=60,1,0)</f>
        <v/>
      </c>
      <c r="M116">
        <f>IF(MOD(A116-7,10)=0,1,0)</f>
        <v/>
      </c>
      <c r="N116">
        <f>COUNTIFS($B$2:$B$601,B116,$J$2:$J$601,"&lt;"&amp;J116)+1</f>
        <v/>
      </c>
      <c r="O116">
        <f>ROUND(COUNTIF($B$2:$B$601,B116)/600*60,0)</f>
        <v/>
      </c>
      <c r="P116">
        <f>IF(N116&lt;=O116,1,0)</f>
        <v/>
      </c>
      <c r="Q116">
        <f>IF(OR(C116=4,C116=15,C116=27),1,0)</f>
        <v/>
      </c>
      <c r="R116">
        <f>IF(I116&lt;=60,1,0)</f>
        <v/>
      </c>
    </row>
    <row r="117">
      <c r="A117" t="n">
        <v>116</v>
      </c>
      <c r="B117" t="n">
        <v>1</v>
      </c>
      <c r="C117" t="n">
        <v>6</v>
      </c>
      <c r="D117" t="n">
        <v>2</v>
      </c>
      <c r="E117" t="n">
        <v>52</v>
      </c>
      <c r="F117" t="n">
        <v>0</v>
      </c>
      <c r="G117" t="n">
        <v>128</v>
      </c>
      <c r="H117" t="n">
        <v>0</v>
      </c>
      <c r="I117" t="n">
        <v>543</v>
      </c>
      <c r="J117" t="n">
        <v>0.733111</v>
      </c>
      <c r="K117">
        <f>RANK(J117,$J$2:$J$601,1)</f>
        <v/>
      </c>
      <c r="L117">
        <f>IF(K117&lt;=60,1,0)</f>
        <v/>
      </c>
      <c r="M117">
        <f>IF(MOD(A117-7,10)=0,1,0)</f>
        <v/>
      </c>
      <c r="N117">
        <f>COUNTIFS($B$2:$B$601,B117,$J$2:$J$601,"&lt;"&amp;J117)+1</f>
        <v/>
      </c>
      <c r="O117">
        <f>ROUND(COUNTIF($B$2:$B$601,B117)/600*60,0)</f>
        <v/>
      </c>
      <c r="P117">
        <f>IF(N117&lt;=O117,1,0)</f>
        <v/>
      </c>
      <c r="Q117">
        <f>IF(OR(C117=4,C117=15,C117=27),1,0)</f>
        <v/>
      </c>
      <c r="R117">
        <f>IF(I117&lt;=60,1,0)</f>
        <v/>
      </c>
    </row>
    <row r="118">
      <c r="A118" t="n">
        <v>117</v>
      </c>
      <c r="B118" t="n">
        <v>1</v>
      </c>
      <c r="C118" t="n">
        <v>6</v>
      </c>
      <c r="D118" t="n">
        <v>1</v>
      </c>
      <c r="E118" t="n">
        <v>78</v>
      </c>
      <c r="F118" t="n">
        <v>0</v>
      </c>
      <c r="G118" t="n">
        <v>143</v>
      </c>
      <c r="H118" t="n">
        <v>1</v>
      </c>
      <c r="I118" t="n">
        <v>74</v>
      </c>
      <c r="J118" t="n">
        <v>0.502321</v>
      </c>
      <c r="K118">
        <f>RANK(J118,$J$2:$J$601,1)</f>
        <v/>
      </c>
      <c r="L118">
        <f>IF(K118&lt;=60,1,0)</f>
        <v/>
      </c>
      <c r="M118">
        <f>IF(MOD(A118-7,10)=0,1,0)</f>
        <v/>
      </c>
      <c r="N118">
        <f>COUNTIFS($B$2:$B$601,B118,$J$2:$J$601,"&lt;"&amp;J118)+1</f>
        <v/>
      </c>
      <c r="O118">
        <f>ROUND(COUNTIF($B$2:$B$601,B118)/600*60,0)</f>
        <v/>
      </c>
      <c r="P118">
        <f>IF(N118&lt;=O118,1,0)</f>
        <v/>
      </c>
      <c r="Q118">
        <f>IF(OR(C118=4,C118=15,C118=27),1,0)</f>
        <v/>
      </c>
      <c r="R118">
        <f>IF(I118&lt;=60,1,0)</f>
        <v/>
      </c>
    </row>
    <row r="119">
      <c r="A119" t="n">
        <v>118</v>
      </c>
      <c r="B119" t="n">
        <v>1</v>
      </c>
      <c r="C119" t="n">
        <v>6</v>
      </c>
      <c r="D119" t="n">
        <v>1</v>
      </c>
      <c r="E119" t="n">
        <v>79</v>
      </c>
      <c r="F119" t="n">
        <v>0</v>
      </c>
      <c r="G119" t="n">
        <v>124</v>
      </c>
      <c r="H119" t="n">
        <v>0</v>
      </c>
      <c r="I119" t="n">
        <v>451</v>
      </c>
      <c r="J119" t="n">
        <v>0.888709</v>
      </c>
      <c r="K119">
        <f>RANK(J119,$J$2:$J$601,1)</f>
        <v/>
      </c>
      <c r="L119">
        <f>IF(K119&lt;=60,1,0)</f>
        <v/>
      </c>
      <c r="M119">
        <f>IF(MOD(A119-7,10)=0,1,0)</f>
        <v/>
      </c>
      <c r="N119">
        <f>COUNTIFS($B$2:$B$601,B119,$J$2:$J$601,"&lt;"&amp;J119)+1</f>
        <v/>
      </c>
      <c r="O119">
        <f>ROUND(COUNTIF($B$2:$B$601,B119)/600*60,0)</f>
        <v/>
      </c>
      <c r="P119">
        <f>IF(N119&lt;=O119,1,0)</f>
        <v/>
      </c>
      <c r="Q119">
        <f>IF(OR(C119=4,C119=15,C119=27),1,0)</f>
        <v/>
      </c>
      <c r="R119">
        <f>IF(I119&lt;=60,1,0)</f>
        <v/>
      </c>
    </row>
    <row r="120">
      <c r="A120" t="n">
        <v>119</v>
      </c>
      <c r="B120" t="n">
        <v>1</v>
      </c>
      <c r="C120" t="n">
        <v>6</v>
      </c>
      <c r="D120" t="n">
        <v>1</v>
      </c>
      <c r="E120" t="n">
        <v>75</v>
      </c>
      <c r="F120" t="n">
        <v>0</v>
      </c>
      <c r="G120" t="n">
        <v>150</v>
      </c>
      <c r="H120" t="n">
        <v>1</v>
      </c>
      <c r="I120" t="n">
        <v>118</v>
      </c>
      <c r="J120" t="n">
        <v>0.250068</v>
      </c>
      <c r="K120">
        <f>RANK(J120,$J$2:$J$601,1)</f>
        <v/>
      </c>
      <c r="L120">
        <f>IF(K120&lt;=60,1,0)</f>
        <v/>
      </c>
      <c r="M120">
        <f>IF(MOD(A120-7,10)=0,1,0)</f>
        <v/>
      </c>
      <c r="N120">
        <f>COUNTIFS($B$2:$B$601,B120,$J$2:$J$601,"&lt;"&amp;J120)+1</f>
        <v/>
      </c>
      <c r="O120">
        <f>ROUND(COUNTIF($B$2:$B$601,B120)/600*60,0)</f>
        <v/>
      </c>
      <c r="P120">
        <f>IF(N120&lt;=O120,1,0)</f>
        <v/>
      </c>
      <c r="Q120">
        <f>IF(OR(C120=4,C120=15,C120=27),1,0)</f>
        <v/>
      </c>
      <c r="R120">
        <f>IF(I120&lt;=60,1,0)</f>
        <v/>
      </c>
    </row>
    <row r="121">
      <c r="A121" t="n">
        <v>120</v>
      </c>
      <c r="B121" t="n">
        <v>1</v>
      </c>
      <c r="C121" t="n">
        <v>6</v>
      </c>
      <c r="D121" t="n">
        <v>1</v>
      </c>
      <c r="E121" t="n">
        <v>80</v>
      </c>
      <c r="F121" t="n">
        <v>0</v>
      </c>
      <c r="G121" t="n">
        <v>144</v>
      </c>
      <c r="H121" t="n">
        <v>1</v>
      </c>
      <c r="I121" t="n">
        <v>95</v>
      </c>
      <c r="J121" t="n">
        <v>0.93416</v>
      </c>
      <c r="K121">
        <f>RANK(J121,$J$2:$J$601,1)</f>
        <v/>
      </c>
      <c r="L121">
        <f>IF(K121&lt;=60,1,0)</f>
        <v/>
      </c>
      <c r="M121">
        <f>IF(MOD(A121-7,10)=0,1,0)</f>
        <v/>
      </c>
      <c r="N121">
        <f>COUNTIFS($B$2:$B$601,B121,$J$2:$J$601,"&lt;"&amp;J121)+1</f>
        <v/>
      </c>
      <c r="O121">
        <f>ROUND(COUNTIF($B$2:$B$601,B121)/600*60,0)</f>
        <v/>
      </c>
      <c r="P121">
        <f>IF(N121&lt;=O121,1,0)</f>
        <v/>
      </c>
      <c r="Q121">
        <f>IF(OR(C121=4,C121=15,C121=27),1,0)</f>
        <v/>
      </c>
      <c r="R121">
        <f>IF(I121&lt;=60,1,0)</f>
        <v/>
      </c>
    </row>
    <row r="122">
      <c r="A122" t="n">
        <v>121</v>
      </c>
      <c r="B122" t="n">
        <v>1</v>
      </c>
      <c r="C122" t="n">
        <v>7</v>
      </c>
      <c r="D122" t="n">
        <v>2</v>
      </c>
      <c r="E122" t="n">
        <v>36</v>
      </c>
      <c r="F122" t="n">
        <v>1</v>
      </c>
      <c r="G122" t="n">
        <v>93</v>
      </c>
      <c r="H122" t="n">
        <v>0</v>
      </c>
      <c r="I122" t="n">
        <v>216</v>
      </c>
      <c r="J122" t="n">
        <v>0.510526</v>
      </c>
      <c r="K122">
        <f>RANK(J122,$J$2:$J$601,1)</f>
        <v/>
      </c>
      <c r="L122">
        <f>IF(K122&lt;=60,1,0)</f>
        <v/>
      </c>
      <c r="M122">
        <f>IF(MOD(A122-7,10)=0,1,0)</f>
        <v/>
      </c>
      <c r="N122">
        <f>COUNTIFS($B$2:$B$601,B122,$J$2:$J$601,"&lt;"&amp;J122)+1</f>
        <v/>
      </c>
      <c r="O122">
        <f>ROUND(COUNTIF($B$2:$B$601,B122)/600*60,0)</f>
        <v/>
      </c>
      <c r="P122">
        <f>IF(N122&lt;=O122,1,0)</f>
        <v/>
      </c>
      <c r="Q122">
        <f>IF(OR(C122=4,C122=15,C122=27),1,0)</f>
        <v/>
      </c>
      <c r="R122">
        <f>IF(I122&lt;=60,1,0)</f>
        <v/>
      </c>
    </row>
    <row r="123">
      <c r="A123" t="n">
        <v>122</v>
      </c>
      <c r="B123" t="n">
        <v>1</v>
      </c>
      <c r="C123" t="n">
        <v>7</v>
      </c>
      <c r="D123" t="n">
        <v>1</v>
      </c>
      <c r="E123" t="n">
        <v>48</v>
      </c>
      <c r="F123" t="n">
        <v>0</v>
      </c>
      <c r="G123" t="n">
        <v>108</v>
      </c>
      <c r="H123" t="n">
        <v>0</v>
      </c>
      <c r="I123" t="n">
        <v>412</v>
      </c>
      <c r="J123" t="n">
        <v>0.332787</v>
      </c>
      <c r="K123">
        <f>RANK(J123,$J$2:$J$601,1)</f>
        <v/>
      </c>
      <c r="L123">
        <f>IF(K123&lt;=60,1,0)</f>
        <v/>
      </c>
      <c r="M123">
        <f>IF(MOD(A123-7,10)=0,1,0)</f>
        <v/>
      </c>
      <c r="N123">
        <f>COUNTIFS($B$2:$B$601,B123,$J$2:$J$601,"&lt;"&amp;J123)+1</f>
        <v/>
      </c>
      <c r="O123">
        <f>ROUND(COUNTIF($B$2:$B$601,B123)/600*60,0)</f>
        <v/>
      </c>
      <c r="P123">
        <f>IF(N123&lt;=O123,1,0)</f>
        <v/>
      </c>
      <c r="Q123">
        <f>IF(OR(C123=4,C123=15,C123=27),1,0)</f>
        <v/>
      </c>
      <c r="R123">
        <f>IF(I123&lt;=60,1,0)</f>
        <v/>
      </c>
    </row>
    <row r="124">
      <c r="A124" t="n">
        <v>123</v>
      </c>
      <c r="B124" t="n">
        <v>1</v>
      </c>
      <c r="C124" t="n">
        <v>7</v>
      </c>
      <c r="D124" t="n">
        <v>1</v>
      </c>
      <c r="E124" t="n">
        <v>62</v>
      </c>
      <c r="F124" t="n">
        <v>0</v>
      </c>
      <c r="G124" t="n">
        <v>148</v>
      </c>
      <c r="H124" t="n">
        <v>1</v>
      </c>
      <c r="I124" t="n">
        <v>119</v>
      </c>
      <c r="J124" t="n">
        <v>0.798888</v>
      </c>
      <c r="K124">
        <f>RANK(J124,$J$2:$J$601,1)</f>
        <v/>
      </c>
      <c r="L124">
        <f>IF(K124&lt;=60,1,0)</f>
        <v/>
      </c>
      <c r="M124">
        <f>IF(MOD(A124-7,10)=0,1,0)</f>
        <v/>
      </c>
      <c r="N124">
        <f>COUNTIFS($B$2:$B$601,B124,$J$2:$J$601,"&lt;"&amp;J124)+1</f>
        <v/>
      </c>
      <c r="O124">
        <f>ROUND(COUNTIF($B$2:$B$601,B124)/600*60,0)</f>
        <v/>
      </c>
      <c r="P124">
        <f>IF(N124&lt;=O124,1,0)</f>
        <v/>
      </c>
      <c r="Q124">
        <f>IF(OR(C124=4,C124=15,C124=27),1,0)</f>
        <v/>
      </c>
      <c r="R124">
        <f>IF(I124&lt;=60,1,0)</f>
        <v/>
      </c>
    </row>
    <row r="125">
      <c r="A125" t="n">
        <v>124</v>
      </c>
      <c r="B125" t="n">
        <v>1</v>
      </c>
      <c r="C125" t="n">
        <v>7</v>
      </c>
      <c r="D125" t="n">
        <v>1</v>
      </c>
      <c r="E125" t="n">
        <v>60</v>
      </c>
      <c r="F125" t="n">
        <v>0</v>
      </c>
      <c r="G125" t="n">
        <v>127</v>
      </c>
      <c r="H125" t="n">
        <v>0</v>
      </c>
      <c r="I125" t="n">
        <v>372</v>
      </c>
      <c r="J125" t="n">
        <v>0.466502</v>
      </c>
      <c r="K125">
        <f>RANK(J125,$J$2:$J$601,1)</f>
        <v/>
      </c>
      <c r="L125">
        <f>IF(K125&lt;=60,1,0)</f>
        <v/>
      </c>
      <c r="M125">
        <f>IF(MOD(A125-7,10)=0,1,0)</f>
        <v/>
      </c>
      <c r="N125">
        <f>COUNTIFS($B$2:$B$601,B125,$J$2:$J$601,"&lt;"&amp;J125)+1</f>
        <v/>
      </c>
      <c r="O125">
        <f>ROUND(COUNTIF($B$2:$B$601,B125)/600*60,0)</f>
        <v/>
      </c>
      <c r="P125">
        <f>IF(N125&lt;=O125,1,0)</f>
        <v/>
      </c>
      <c r="Q125">
        <f>IF(OR(C125=4,C125=15,C125=27),1,0)</f>
        <v/>
      </c>
      <c r="R125">
        <f>IF(I125&lt;=60,1,0)</f>
        <v/>
      </c>
    </row>
    <row r="126">
      <c r="A126" t="n">
        <v>125</v>
      </c>
      <c r="B126" t="n">
        <v>1</v>
      </c>
      <c r="C126" t="n">
        <v>7</v>
      </c>
      <c r="D126" t="n">
        <v>1</v>
      </c>
      <c r="E126" t="n">
        <v>54</v>
      </c>
      <c r="F126" t="n">
        <v>0</v>
      </c>
      <c r="G126" t="n">
        <v>129</v>
      </c>
      <c r="H126" t="n">
        <v>0</v>
      </c>
      <c r="I126" t="n">
        <v>488</v>
      </c>
      <c r="J126" t="n">
        <v>0.487737</v>
      </c>
      <c r="K126">
        <f>RANK(J126,$J$2:$J$601,1)</f>
        <v/>
      </c>
      <c r="L126">
        <f>IF(K126&lt;=60,1,0)</f>
        <v/>
      </c>
      <c r="M126">
        <f>IF(MOD(A126-7,10)=0,1,0)</f>
        <v/>
      </c>
      <c r="N126">
        <f>COUNTIFS($B$2:$B$601,B126,$J$2:$J$601,"&lt;"&amp;J126)+1</f>
        <v/>
      </c>
      <c r="O126">
        <f>ROUND(COUNTIF($B$2:$B$601,B126)/600*60,0)</f>
        <v/>
      </c>
      <c r="P126">
        <f>IF(N126&lt;=O126,1,0)</f>
        <v/>
      </c>
      <c r="Q126">
        <f>IF(OR(C126=4,C126=15,C126=27),1,0)</f>
        <v/>
      </c>
      <c r="R126">
        <f>IF(I126&lt;=60,1,0)</f>
        <v/>
      </c>
    </row>
    <row r="127">
      <c r="A127" t="n">
        <v>126</v>
      </c>
      <c r="B127" t="n">
        <v>1</v>
      </c>
      <c r="C127" t="n">
        <v>7</v>
      </c>
      <c r="D127" t="n">
        <v>2</v>
      </c>
      <c r="E127" t="n">
        <v>47</v>
      </c>
      <c r="F127" t="n">
        <v>0</v>
      </c>
      <c r="G127" t="n">
        <v>116</v>
      </c>
      <c r="H127" t="n">
        <v>0</v>
      </c>
      <c r="I127" t="n">
        <v>537</v>
      </c>
      <c r="J127" t="n">
        <v>0.452942</v>
      </c>
      <c r="K127">
        <f>RANK(J127,$J$2:$J$601,1)</f>
        <v/>
      </c>
      <c r="L127">
        <f>IF(K127&lt;=60,1,0)</f>
        <v/>
      </c>
      <c r="M127">
        <f>IF(MOD(A127-7,10)=0,1,0)</f>
        <v/>
      </c>
      <c r="N127">
        <f>COUNTIFS($B$2:$B$601,B127,$J$2:$J$601,"&lt;"&amp;J127)+1</f>
        <v/>
      </c>
      <c r="O127">
        <f>ROUND(COUNTIF($B$2:$B$601,B127)/600*60,0)</f>
        <v/>
      </c>
      <c r="P127">
        <f>IF(N127&lt;=O127,1,0)</f>
        <v/>
      </c>
      <c r="Q127">
        <f>IF(OR(C127=4,C127=15,C127=27),1,0)</f>
        <v/>
      </c>
      <c r="R127">
        <f>IF(I127&lt;=60,1,0)</f>
        <v/>
      </c>
    </row>
    <row r="128">
      <c r="A128" t="n">
        <v>127</v>
      </c>
      <c r="B128" t="n">
        <v>1</v>
      </c>
      <c r="C128" t="n">
        <v>7</v>
      </c>
      <c r="D128" t="n">
        <v>2</v>
      </c>
      <c r="E128" t="n">
        <v>44</v>
      </c>
      <c r="F128" t="n">
        <v>0</v>
      </c>
      <c r="G128" t="n">
        <v>122</v>
      </c>
      <c r="H128" t="n">
        <v>0</v>
      </c>
      <c r="I128" t="n">
        <v>445</v>
      </c>
      <c r="J128" t="n">
        <v>0.021688</v>
      </c>
      <c r="K128">
        <f>RANK(J128,$J$2:$J$601,1)</f>
        <v/>
      </c>
      <c r="L128">
        <f>IF(K128&lt;=60,1,0)</f>
        <v/>
      </c>
      <c r="M128">
        <f>IF(MOD(A128-7,10)=0,1,0)</f>
        <v/>
      </c>
      <c r="N128">
        <f>COUNTIFS($B$2:$B$601,B128,$J$2:$J$601,"&lt;"&amp;J128)+1</f>
        <v/>
      </c>
      <c r="O128">
        <f>ROUND(COUNTIF($B$2:$B$601,B128)/600*60,0)</f>
        <v/>
      </c>
      <c r="P128">
        <f>IF(N128&lt;=O128,1,0)</f>
        <v/>
      </c>
      <c r="Q128">
        <f>IF(OR(C128=4,C128=15,C128=27),1,0)</f>
        <v/>
      </c>
      <c r="R128">
        <f>IF(I128&lt;=60,1,0)</f>
        <v/>
      </c>
    </row>
    <row r="129">
      <c r="A129" t="n">
        <v>128</v>
      </c>
      <c r="B129" t="n">
        <v>1</v>
      </c>
      <c r="C129" t="n">
        <v>7</v>
      </c>
      <c r="D129" t="n">
        <v>2</v>
      </c>
      <c r="E129" t="n">
        <v>50</v>
      </c>
      <c r="F129" t="n">
        <v>0</v>
      </c>
      <c r="G129" t="n">
        <v>137</v>
      </c>
      <c r="H129" t="n">
        <v>0</v>
      </c>
      <c r="I129" t="n">
        <v>504</v>
      </c>
      <c r="J129" t="n">
        <v>0.840867</v>
      </c>
      <c r="K129">
        <f>RANK(J129,$J$2:$J$601,1)</f>
        <v/>
      </c>
      <c r="L129">
        <f>IF(K129&lt;=60,1,0)</f>
        <v/>
      </c>
      <c r="M129">
        <f>IF(MOD(A129-7,10)=0,1,0)</f>
        <v/>
      </c>
      <c r="N129">
        <f>COUNTIFS($B$2:$B$601,B129,$J$2:$J$601,"&lt;"&amp;J129)+1</f>
        <v/>
      </c>
      <c r="O129">
        <f>ROUND(COUNTIF($B$2:$B$601,B129)/600*60,0)</f>
        <v/>
      </c>
      <c r="P129">
        <f>IF(N129&lt;=O129,1,0)</f>
        <v/>
      </c>
      <c r="Q129">
        <f>IF(OR(C129=4,C129=15,C129=27),1,0)</f>
        <v/>
      </c>
      <c r="R129">
        <f>IF(I129&lt;=60,1,0)</f>
        <v/>
      </c>
    </row>
    <row r="130">
      <c r="A130" t="n">
        <v>129</v>
      </c>
      <c r="B130" t="n">
        <v>1</v>
      </c>
      <c r="C130" t="n">
        <v>7</v>
      </c>
      <c r="D130" t="n">
        <v>1</v>
      </c>
      <c r="E130" t="n">
        <v>80</v>
      </c>
      <c r="F130" t="n">
        <v>0</v>
      </c>
      <c r="G130" t="n">
        <v>156</v>
      </c>
      <c r="H130" t="n">
        <v>1</v>
      </c>
      <c r="I130" t="n">
        <v>24</v>
      </c>
      <c r="J130" t="n">
        <v>0.411994</v>
      </c>
      <c r="K130">
        <f>RANK(J130,$J$2:$J$601,1)</f>
        <v/>
      </c>
      <c r="L130">
        <f>IF(K130&lt;=60,1,0)</f>
        <v/>
      </c>
      <c r="M130">
        <f>IF(MOD(A130-7,10)=0,1,0)</f>
        <v/>
      </c>
      <c r="N130">
        <f>COUNTIFS($B$2:$B$601,B130,$J$2:$J$601,"&lt;"&amp;J130)+1</f>
        <v/>
      </c>
      <c r="O130">
        <f>ROUND(COUNTIF($B$2:$B$601,B130)/600*60,0)</f>
        <v/>
      </c>
      <c r="P130">
        <f>IF(N130&lt;=O130,1,0)</f>
        <v/>
      </c>
      <c r="Q130">
        <f>IF(OR(C130=4,C130=15,C130=27),1,0)</f>
        <v/>
      </c>
      <c r="R130">
        <f>IF(I130&lt;=60,1,0)</f>
        <v/>
      </c>
    </row>
    <row r="131">
      <c r="A131" t="n">
        <v>130</v>
      </c>
      <c r="B131" t="n">
        <v>1</v>
      </c>
      <c r="C131" t="n">
        <v>7</v>
      </c>
      <c r="D131" t="n">
        <v>1</v>
      </c>
      <c r="E131" t="n">
        <v>55</v>
      </c>
      <c r="F131" t="n">
        <v>0</v>
      </c>
      <c r="G131" t="n">
        <v>122</v>
      </c>
      <c r="H131" t="n">
        <v>0</v>
      </c>
      <c r="I131" t="n">
        <v>575</v>
      </c>
      <c r="J131" t="n">
        <v>0.903406</v>
      </c>
      <c r="K131">
        <f>RANK(J131,$J$2:$J$601,1)</f>
        <v/>
      </c>
      <c r="L131">
        <f>IF(K131&lt;=60,1,0)</f>
        <v/>
      </c>
      <c r="M131">
        <f>IF(MOD(A131-7,10)=0,1,0)</f>
        <v/>
      </c>
      <c r="N131">
        <f>COUNTIFS($B$2:$B$601,B131,$J$2:$J$601,"&lt;"&amp;J131)+1</f>
        <v/>
      </c>
      <c r="O131">
        <f>ROUND(COUNTIF($B$2:$B$601,B131)/600*60,0)</f>
        <v/>
      </c>
      <c r="P131">
        <f>IF(N131&lt;=O131,1,0)</f>
        <v/>
      </c>
      <c r="Q131">
        <f>IF(OR(C131=4,C131=15,C131=27),1,0)</f>
        <v/>
      </c>
      <c r="R131">
        <f>IF(I131&lt;=60,1,0)</f>
        <v/>
      </c>
    </row>
    <row r="132">
      <c r="A132" t="n">
        <v>131</v>
      </c>
      <c r="B132" t="n">
        <v>1</v>
      </c>
      <c r="C132" t="n">
        <v>7</v>
      </c>
      <c r="D132" t="n">
        <v>1</v>
      </c>
      <c r="E132" t="n">
        <v>45</v>
      </c>
      <c r="F132" t="n">
        <v>0</v>
      </c>
      <c r="G132" t="n">
        <v>124</v>
      </c>
      <c r="H132" t="n">
        <v>0</v>
      </c>
      <c r="I132" t="n">
        <v>597</v>
      </c>
      <c r="J132" t="n">
        <v>0.330751</v>
      </c>
      <c r="K132">
        <f>RANK(J132,$J$2:$J$601,1)</f>
        <v/>
      </c>
      <c r="L132">
        <f>IF(K132&lt;=60,1,0)</f>
        <v/>
      </c>
      <c r="M132">
        <f>IF(MOD(A132-7,10)=0,1,0)</f>
        <v/>
      </c>
      <c r="N132">
        <f>COUNTIFS($B$2:$B$601,B132,$J$2:$J$601,"&lt;"&amp;J132)+1</f>
        <v/>
      </c>
      <c r="O132">
        <f>ROUND(COUNTIF($B$2:$B$601,B132)/600*60,0)</f>
        <v/>
      </c>
      <c r="P132">
        <f>IF(N132&lt;=O132,1,0)</f>
        <v/>
      </c>
      <c r="Q132">
        <f>IF(OR(C132=4,C132=15,C132=27),1,0)</f>
        <v/>
      </c>
      <c r="R132">
        <f>IF(I132&lt;=60,1,0)</f>
        <v/>
      </c>
    </row>
    <row r="133">
      <c r="A133" t="n">
        <v>132</v>
      </c>
      <c r="B133" t="n">
        <v>1</v>
      </c>
      <c r="C133" t="n">
        <v>7</v>
      </c>
      <c r="D133" t="n">
        <v>2</v>
      </c>
      <c r="E133" t="n">
        <v>56</v>
      </c>
      <c r="F133" t="n">
        <v>0</v>
      </c>
      <c r="G133" t="n">
        <v>114</v>
      </c>
      <c r="H133" t="n">
        <v>0</v>
      </c>
      <c r="I133" t="n">
        <v>383</v>
      </c>
      <c r="J133" t="n">
        <v>0.571145</v>
      </c>
      <c r="K133">
        <f>RANK(J133,$J$2:$J$601,1)</f>
        <v/>
      </c>
      <c r="L133">
        <f>IF(K133&lt;=60,1,0)</f>
        <v/>
      </c>
      <c r="M133">
        <f>IF(MOD(A133-7,10)=0,1,0)</f>
        <v/>
      </c>
      <c r="N133">
        <f>COUNTIFS($B$2:$B$601,B133,$J$2:$J$601,"&lt;"&amp;J133)+1</f>
        <v/>
      </c>
      <c r="O133">
        <f>ROUND(COUNTIF($B$2:$B$601,B133)/600*60,0)</f>
        <v/>
      </c>
      <c r="P133">
        <f>IF(N133&lt;=O133,1,0)</f>
        <v/>
      </c>
      <c r="Q133">
        <f>IF(OR(C133=4,C133=15,C133=27),1,0)</f>
        <v/>
      </c>
      <c r="R133">
        <f>IF(I133&lt;=60,1,0)</f>
        <v/>
      </c>
    </row>
    <row r="134">
      <c r="A134" t="n">
        <v>133</v>
      </c>
      <c r="B134" t="n">
        <v>1</v>
      </c>
      <c r="C134" t="n">
        <v>7</v>
      </c>
      <c r="D134" t="n">
        <v>2</v>
      </c>
      <c r="E134" t="n">
        <v>80</v>
      </c>
      <c r="F134" t="n">
        <v>1</v>
      </c>
      <c r="G134" t="n">
        <v>127</v>
      </c>
      <c r="H134" t="n">
        <v>0</v>
      </c>
      <c r="I134" t="n">
        <v>324</v>
      </c>
      <c r="J134" t="n">
        <v>0.61146</v>
      </c>
      <c r="K134">
        <f>RANK(J134,$J$2:$J$601,1)</f>
        <v/>
      </c>
      <c r="L134">
        <f>IF(K134&lt;=60,1,0)</f>
        <v/>
      </c>
      <c r="M134">
        <f>IF(MOD(A134-7,10)=0,1,0)</f>
        <v/>
      </c>
      <c r="N134">
        <f>COUNTIFS($B$2:$B$601,B134,$J$2:$J$601,"&lt;"&amp;J134)+1</f>
        <v/>
      </c>
      <c r="O134">
        <f>ROUND(COUNTIF($B$2:$B$601,B134)/600*60,0)</f>
        <v/>
      </c>
      <c r="P134">
        <f>IF(N134&lt;=O134,1,0)</f>
        <v/>
      </c>
      <c r="Q134">
        <f>IF(OR(C134=4,C134=15,C134=27),1,0)</f>
        <v/>
      </c>
      <c r="R134">
        <f>IF(I134&lt;=60,1,0)</f>
        <v/>
      </c>
    </row>
    <row r="135">
      <c r="A135" t="n">
        <v>134</v>
      </c>
      <c r="B135" t="n">
        <v>1</v>
      </c>
      <c r="C135" t="n">
        <v>7</v>
      </c>
      <c r="D135" t="n">
        <v>2</v>
      </c>
      <c r="E135" t="n">
        <v>64</v>
      </c>
      <c r="F135" t="n">
        <v>0</v>
      </c>
      <c r="G135" t="n">
        <v>133</v>
      </c>
      <c r="H135" t="n">
        <v>0</v>
      </c>
      <c r="I135" t="n">
        <v>392</v>
      </c>
      <c r="J135" t="n">
        <v>0.937296</v>
      </c>
      <c r="K135">
        <f>RANK(J135,$J$2:$J$601,1)</f>
        <v/>
      </c>
      <c r="L135">
        <f>IF(K135&lt;=60,1,0)</f>
        <v/>
      </c>
      <c r="M135">
        <f>IF(MOD(A135-7,10)=0,1,0)</f>
        <v/>
      </c>
      <c r="N135">
        <f>COUNTIFS($B$2:$B$601,B135,$J$2:$J$601,"&lt;"&amp;J135)+1</f>
        <v/>
      </c>
      <c r="O135">
        <f>ROUND(COUNTIF($B$2:$B$601,B135)/600*60,0)</f>
        <v/>
      </c>
      <c r="P135">
        <f>IF(N135&lt;=O135,1,0)</f>
        <v/>
      </c>
      <c r="Q135">
        <f>IF(OR(C135=4,C135=15,C135=27),1,0)</f>
        <v/>
      </c>
      <c r="R135">
        <f>IF(I135&lt;=60,1,0)</f>
        <v/>
      </c>
    </row>
    <row r="136">
      <c r="A136" t="n">
        <v>135</v>
      </c>
      <c r="B136" t="n">
        <v>1</v>
      </c>
      <c r="C136" t="n">
        <v>7</v>
      </c>
      <c r="D136" t="n">
        <v>1</v>
      </c>
      <c r="E136" t="n">
        <v>80</v>
      </c>
      <c r="F136" t="n">
        <v>0</v>
      </c>
      <c r="G136" t="n">
        <v>143</v>
      </c>
      <c r="H136" t="n">
        <v>1</v>
      </c>
      <c r="I136" t="n">
        <v>137</v>
      </c>
      <c r="J136" t="n">
        <v>0.562172</v>
      </c>
      <c r="K136">
        <f>RANK(J136,$J$2:$J$601,1)</f>
        <v/>
      </c>
      <c r="L136">
        <f>IF(K136&lt;=60,1,0)</f>
        <v/>
      </c>
      <c r="M136">
        <f>IF(MOD(A136-7,10)=0,1,0)</f>
        <v/>
      </c>
      <c r="N136">
        <f>COUNTIFS($B$2:$B$601,B136,$J$2:$J$601,"&lt;"&amp;J136)+1</f>
        <v/>
      </c>
      <c r="O136">
        <f>ROUND(COUNTIF($B$2:$B$601,B136)/600*60,0)</f>
        <v/>
      </c>
      <c r="P136">
        <f>IF(N136&lt;=O136,1,0)</f>
        <v/>
      </c>
      <c r="Q136">
        <f>IF(OR(C136=4,C136=15,C136=27),1,0)</f>
        <v/>
      </c>
      <c r="R136">
        <f>IF(I136&lt;=60,1,0)</f>
        <v/>
      </c>
    </row>
    <row r="137">
      <c r="A137" t="n">
        <v>136</v>
      </c>
      <c r="B137" t="n">
        <v>1</v>
      </c>
      <c r="C137" t="n">
        <v>7</v>
      </c>
      <c r="D137" t="n">
        <v>2</v>
      </c>
      <c r="E137" t="n">
        <v>33</v>
      </c>
      <c r="F137" t="n">
        <v>0</v>
      </c>
      <c r="G137" t="n">
        <v>123</v>
      </c>
      <c r="H137" t="n">
        <v>0</v>
      </c>
      <c r="I137" t="n">
        <v>227</v>
      </c>
      <c r="J137" t="n">
        <v>0.238007</v>
      </c>
      <c r="K137">
        <f>RANK(J137,$J$2:$J$601,1)</f>
        <v/>
      </c>
      <c r="L137">
        <f>IF(K137&lt;=60,1,0)</f>
        <v/>
      </c>
      <c r="M137">
        <f>IF(MOD(A137-7,10)=0,1,0)</f>
        <v/>
      </c>
      <c r="N137">
        <f>COUNTIFS($B$2:$B$601,B137,$J$2:$J$601,"&lt;"&amp;J137)+1</f>
        <v/>
      </c>
      <c r="O137">
        <f>ROUND(COUNTIF($B$2:$B$601,B137)/600*60,0)</f>
        <v/>
      </c>
      <c r="P137">
        <f>IF(N137&lt;=O137,1,0)</f>
        <v/>
      </c>
      <c r="Q137">
        <f>IF(OR(C137=4,C137=15,C137=27),1,0)</f>
        <v/>
      </c>
      <c r="R137">
        <f>IF(I137&lt;=60,1,0)</f>
        <v/>
      </c>
    </row>
    <row r="138">
      <c r="A138" t="n">
        <v>137</v>
      </c>
      <c r="B138" t="n">
        <v>1</v>
      </c>
      <c r="C138" t="n">
        <v>7</v>
      </c>
      <c r="D138" t="n">
        <v>2</v>
      </c>
      <c r="E138" t="n">
        <v>67</v>
      </c>
      <c r="F138" t="n">
        <v>0</v>
      </c>
      <c r="G138" t="n">
        <v>149</v>
      </c>
      <c r="H138" t="n">
        <v>1</v>
      </c>
      <c r="I138" t="n">
        <v>73</v>
      </c>
      <c r="J138" t="n">
        <v>0.919028</v>
      </c>
      <c r="K138">
        <f>RANK(J138,$J$2:$J$601,1)</f>
        <v/>
      </c>
      <c r="L138">
        <f>IF(K138&lt;=60,1,0)</f>
        <v/>
      </c>
      <c r="M138">
        <f>IF(MOD(A138-7,10)=0,1,0)</f>
        <v/>
      </c>
      <c r="N138">
        <f>COUNTIFS($B$2:$B$601,B138,$J$2:$J$601,"&lt;"&amp;J138)+1</f>
        <v/>
      </c>
      <c r="O138">
        <f>ROUND(COUNTIF($B$2:$B$601,B138)/600*60,0)</f>
        <v/>
      </c>
      <c r="P138">
        <f>IF(N138&lt;=O138,1,0)</f>
        <v/>
      </c>
      <c r="Q138">
        <f>IF(OR(C138=4,C138=15,C138=27),1,0)</f>
        <v/>
      </c>
      <c r="R138">
        <f>IF(I138&lt;=60,1,0)</f>
        <v/>
      </c>
    </row>
    <row r="139">
      <c r="A139" t="n">
        <v>138</v>
      </c>
      <c r="B139" t="n">
        <v>1</v>
      </c>
      <c r="C139" t="n">
        <v>7</v>
      </c>
      <c r="D139" t="n">
        <v>2</v>
      </c>
      <c r="E139" t="n">
        <v>73</v>
      </c>
      <c r="F139" t="n">
        <v>0</v>
      </c>
      <c r="G139" t="n">
        <v>126</v>
      </c>
      <c r="H139" t="n">
        <v>0</v>
      </c>
      <c r="I139" t="n">
        <v>397</v>
      </c>
      <c r="J139" t="n">
        <v>0.703501</v>
      </c>
      <c r="K139">
        <f>RANK(J139,$J$2:$J$601,1)</f>
        <v/>
      </c>
      <c r="L139">
        <f>IF(K139&lt;=60,1,0)</f>
        <v/>
      </c>
      <c r="M139">
        <f>IF(MOD(A139-7,10)=0,1,0)</f>
        <v/>
      </c>
      <c r="N139">
        <f>COUNTIFS($B$2:$B$601,B139,$J$2:$J$601,"&lt;"&amp;J139)+1</f>
        <v/>
      </c>
      <c r="O139">
        <f>ROUND(COUNTIF($B$2:$B$601,B139)/600*60,0)</f>
        <v/>
      </c>
      <c r="P139">
        <f>IF(N139&lt;=O139,1,0)</f>
        <v/>
      </c>
      <c r="Q139">
        <f>IF(OR(C139=4,C139=15,C139=27),1,0)</f>
        <v/>
      </c>
      <c r="R139">
        <f>IF(I139&lt;=60,1,0)</f>
        <v/>
      </c>
    </row>
    <row r="140">
      <c r="A140" t="n">
        <v>139</v>
      </c>
      <c r="B140" t="n">
        <v>1</v>
      </c>
      <c r="C140" t="n">
        <v>7</v>
      </c>
      <c r="D140" t="n">
        <v>1</v>
      </c>
      <c r="E140" t="n">
        <v>61</v>
      </c>
      <c r="F140" t="n">
        <v>0</v>
      </c>
      <c r="G140" t="n">
        <v>137</v>
      </c>
      <c r="H140" t="n">
        <v>0</v>
      </c>
      <c r="I140" t="n">
        <v>186</v>
      </c>
      <c r="J140" t="n">
        <v>0.852205</v>
      </c>
      <c r="K140">
        <f>RANK(J140,$J$2:$J$601,1)</f>
        <v/>
      </c>
      <c r="L140">
        <f>IF(K140&lt;=60,1,0)</f>
        <v/>
      </c>
      <c r="M140">
        <f>IF(MOD(A140-7,10)=0,1,0)</f>
        <v/>
      </c>
      <c r="N140">
        <f>COUNTIFS($B$2:$B$601,B140,$J$2:$J$601,"&lt;"&amp;J140)+1</f>
        <v/>
      </c>
      <c r="O140">
        <f>ROUND(COUNTIF($B$2:$B$601,B140)/600*60,0)</f>
        <v/>
      </c>
      <c r="P140">
        <f>IF(N140&lt;=O140,1,0)</f>
        <v/>
      </c>
      <c r="Q140">
        <f>IF(OR(C140=4,C140=15,C140=27),1,0)</f>
        <v/>
      </c>
      <c r="R140">
        <f>IF(I140&lt;=60,1,0)</f>
        <v/>
      </c>
    </row>
    <row r="141">
      <c r="A141" t="n">
        <v>140</v>
      </c>
      <c r="B141" t="n">
        <v>1</v>
      </c>
      <c r="C141" t="n">
        <v>7</v>
      </c>
      <c r="D141" t="n">
        <v>2</v>
      </c>
      <c r="E141" t="n">
        <v>43</v>
      </c>
      <c r="F141" t="n">
        <v>0</v>
      </c>
      <c r="G141" t="n">
        <v>103</v>
      </c>
      <c r="H141" t="n">
        <v>0</v>
      </c>
      <c r="I141" t="n">
        <v>303</v>
      </c>
      <c r="J141" t="n">
        <v>0.825573</v>
      </c>
      <c r="K141">
        <f>RANK(J141,$J$2:$J$601,1)</f>
        <v/>
      </c>
      <c r="L141">
        <f>IF(K141&lt;=60,1,0)</f>
        <v/>
      </c>
      <c r="M141">
        <f>IF(MOD(A141-7,10)=0,1,0)</f>
        <v/>
      </c>
      <c r="N141">
        <f>COUNTIFS($B$2:$B$601,B141,$J$2:$J$601,"&lt;"&amp;J141)+1</f>
        <v/>
      </c>
      <c r="O141">
        <f>ROUND(COUNTIF($B$2:$B$601,B141)/600*60,0)</f>
        <v/>
      </c>
      <c r="P141">
        <f>IF(N141&lt;=O141,1,0)</f>
        <v/>
      </c>
      <c r="Q141">
        <f>IF(OR(C141=4,C141=15,C141=27),1,0)</f>
        <v/>
      </c>
      <c r="R141">
        <f>IF(I141&lt;=60,1,0)</f>
        <v/>
      </c>
    </row>
    <row r="142">
      <c r="A142" t="n">
        <v>141</v>
      </c>
      <c r="B142" t="n">
        <v>1</v>
      </c>
      <c r="C142" t="n">
        <v>8</v>
      </c>
      <c r="D142" t="n">
        <v>1</v>
      </c>
      <c r="E142" t="n">
        <v>56</v>
      </c>
      <c r="F142" t="n">
        <v>0</v>
      </c>
      <c r="G142" t="n">
        <v>123</v>
      </c>
      <c r="H142" t="n">
        <v>0</v>
      </c>
      <c r="I142" t="n">
        <v>426</v>
      </c>
      <c r="J142" t="n">
        <v>0.140225</v>
      </c>
      <c r="K142">
        <f>RANK(J142,$J$2:$J$601,1)</f>
        <v/>
      </c>
      <c r="L142">
        <f>IF(K142&lt;=60,1,0)</f>
        <v/>
      </c>
      <c r="M142">
        <f>IF(MOD(A142-7,10)=0,1,0)</f>
        <v/>
      </c>
      <c r="N142">
        <f>COUNTIFS($B$2:$B$601,B142,$J$2:$J$601,"&lt;"&amp;J142)+1</f>
        <v/>
      </c>
      <c r="O142">
        <f>ROUND(COUNTIF($B$2:$B$601,B142)/600*60,0)</f>
        <v/>
      </c>
      <c r="P142">
        <f>IF(N142&lt;=O142,1,0)</f>
        <v/>
      </c>
      <c r="Q142">
        <f>IF(OR(C142=4,C142=15,C142=27),1,0)</f>
        <v/>
      </c>
      <c r="R142">
        <f>IF(I142&lt;=60,1,0)</f>
        <v/>
      </c>
    </row>
    <row r="143">
      <c r="A143" t="n">
        <v>142</v>
      </c>
      <c r="B143" t="n">
        <v>1</v>
      </c>
      <c r="C143" t="n">
        <v>8</v>
      </c>
      <c r="D143" t="n">
        <v>1</v>
      </c>
      <c r="E143" t="n">
        <v>70</v>
      </c>
      <c r="F143" t="n">
        <v>0</v>
      </c>
      <c r="G143" t="n">
        <v>134</v>
      </c>
      <c r="H143" t="n">
        <v>0</v>
      </c>
      <c r="I143" t="n">
        <v>212</v>
      </c>
      <c r="J143" t="n">
        <v>0.773204</v>
      </c>
      <c r="K143">
        <f>RANK(J143,$J$2:$J$601,1)</f>
        <v/>
      </c>
      <c r="L143">
        <f>IF(K143&lt;=60,1,0)</f>
        <v/>
      </c>
      <c r="M143">
        <f>IF(MOD(A143-7,10)=0,1,0)</f>
        <v/>
      </c>
      <c r="N143">
        <f>COUNTIFS($B$2:$B$601,B143,$J$2:$J$601,"&lt;"&amp;J143)+1</f>
        <v/>
      </c>
      <c r="O143">
        <f>ROUND(COUNTIF($B$2:$B$601,B143)/600*60,0)</f>
        <v/>
      </c>
      <c r="P143">
        <f>IF(N143&lt;=O143,1,0)</f>
        <v/>
      </c>
      <c r="Q143">
        <f>IF(OR(C143=4,C143=15,C143=27),1,0)</f>
        <v/>
      </c>
      <c r="R143">
        <f>IF(I143&lt;=60,1,0)</f>
        <v/>
      </c>
    </row>
    <row r="144">
      <c r="A144" t="n">
        <v>143</v>
      </c>
      <c r="B144" t="n">
        <v>1</v>
      </c>
      <c r="C144" t="n">
        <v>8</v>
      </c>
      <c r="D144" t="n">
        <v>2</v>
      </c>
      <c r="E144" t="n">
        <v>66</v>
      </c>
      <c r="F144" t="n">
        <v>0</v>
      </c>
      <c r="G144" t="n">
        <v>138</v>
      </c>
      <c r="H144" t="n">
        <v>0</v>
      </c>
      <c r="I144" t="n">
        <v>96</v>
      </c>
      <c r="J144" t="n">
        <v>0.393525</v>
      </c>
      <c r="K144">
        <f>RANK(J144,$J$2:$J$601,1)</f>
        <v/>
      </c>
      <c r="L144">
        <f>IF(K144&lt;=60,1,0)</f>
        <v/>
      </c>
      <c r="M144">
        <f>IF(MOD(A144-7,10)=0,1,0)</f>
        <v/>
      </c>
      <c r="N144">
        <f>COUNTIFS($B$2:$B$601,B144,$J$2:$J$601,"&lt;"&amp;J144)+1</f>
        <v/>
      </c>
      <c r="O144">
        <f>ROUND(COUNTIF($B$2:$B$601,B144)/600*60,0)</f>
        <v/>
      </c>
      <c r="P144">
        <f>IF(N144&lt;=O144,1,0)</f>
        <v/>
      </c>
      <c r="Q144">
        <f>IF(OR(C144=4,C144=15,C144=27),1,0)</f>
        <v/>
      </c>
      <c r="R144">
        <f>IF(I144&lt;=60,1,0)</f>
        <v/>
      </c>
    </row>
    <row r="145">
      <c r="A145" t="n">
        <v>144</v>
      </c>
      <c r="B145" t="n">
        <v>1</v>
      </c>
      <c r="C145" t="n">
        <v>8</v>
      </c>
      <c r="D145" t="n">
        <v>2</v>
      </c>
      <c r="E145" t="n">
        <v>55</v>
      </c>
      <c r="F145" t="n">
        <v>0</v>
      </c>
      <c r="G145" t="n">
        <v>123</v>
      </c>
      <c r="H145" t="n">
        <v>0</v>
      </c>
      <c r="I145" t="n">
        <v>371</v>
      </c>
      <c r="J145" t="n">
        <v>0.795901</v>
      </c>
      <c r="K145">
        <f>RANK(J145,$J$2:$J$601,1)</f>
        <v/>
      </c>
      <c r="L145">
        <f>IF(K145&lt;=60,1,0)</f>
        <v/>
      </c>
      <c r="M145">
        <f>IF(MOD(A145-7,10)=0,1,0)</f>
        <v/>
      </c>
      <c r="N145">
        <f>COUNTIFS($B$2:$B$601,B145,$J$2:$J$601,"&lt;"&amp;J145)+1</f>
        <v/>
      </c>
      <c r="O145">
        <f>ROUND(COUNTIF($B$2:$B$601,B145)/600*60,0)</f>
        <v/>
      </c>
      <c r="P145">
        <f>IF(N145&lt;=O145,1,0)</f>
        <v/>
      </c>
      <c r="Q145">
        <f>IF(OR(C145=4,C145=15,C145=27),1,0)</f>
        <v/>
      </c>
      <c r="R145">
        <f>IF(I145&lt;=60,1,0)</f>
        <v/>
      </c>
    </row>
    <row r="146">
      <c r="A146" t="n">
        <v>145</v>
      </c>
      <c r="B146" t="n">
        <v>1</v>
      </c>
      <c r="C146" t="n">
        <v>8</v>
      </c>
      <c r="D146" t="n">
        <v>2</v>
      </c>
      <c r="E146" t="n">
        <v>72</v>
      </c>
      <c r="F146" t="n">
        <v>0</v>
      </c>
      <c r="G146" t="n">
        <v>150</v>
      </c>
      <c r="H146" t="n">
        <v>1</v>
      </c>
      <c r="I146" t="n">
        <v>17</v>
      </c>
      <c r="J146" t="n">
        <v>0.168733</v>
      </c>
      <c r="K146">
        <f>RANK(J146,$J$2:$J$601,1)</f>
        <v/>
      </c>
      <c r="L146">
        <f>IF(K146&lt;=60,1,0)</f>
        <v/>
      </c>
      <c r="M146">
        <f>IF(MOD(A146-7,10)=0,1,0)</f>
        <v/>
      </c>
      <c r="N146">
        <f>COUNTIFS($B$2:$B$601,B146,$J$2:$J$601,"&lt;"&amp;J146)+1</f>
        <v/>
      </c>
      <c r="O146">
        <f>ROUND(COUNTIF($B$2:$B$601,B146)/600*60,0)</f>
        <v/>
      </c>
      <c r="P146">
        <f>IF(N146&lt;=O146,1,0)</f>
        <v/>
      </c>
      <c r="Q146">
        <f>IF(OR(C146=4,C146=15,C146=27),1,0)</f>
        <v/>
      </c>
      <c r="R146">
        <f>IF(I146&lt;=60,1,0)</f>
        <v/>
      </c>
    </row>
    <row r="147">
      <c r="A147" t="n">
        <v>146</v>
      </c>
      <c r="B147" t="n">
        <v>1</v>
      </c>
      <c r="C147" t="n">
        <v>8</v>
      </c>
      <c r="D147" t="n">
        <v>1</v>
      </c>
      <c r="E147" t="n">
        <v>36</v>
      </c>
      <c r="F147" t="n">
        <v>0</v>
      </c>
      <c r="G147" t="n">
        <v>128</v>
      </c>
      <c r="H147" t="n">
        <v>0</v>
      </c>
      <c r="I147" t="n">
        <v>437</v>
      </c>
      <c r="J147" t="n">
        <v>0.617934</v>
      </c>
      <c r="K147">
        <f>RANK(J147,$J$2:$J$601,1)</f>
        <v/>
      </c>
      <c r="L147">
        <f>IF(K147&lt;=60,1,0)</f>
        <v/>
      </c>
      <c r="M147">
        <f>IF(MOD(A147-7,10)=0,1,0)</f>
        <v/>
      </c>
      <c r="N147">
        <f>COUNTIFS($B$2:$B$601,B147,$J$2:$J$601,"&lt;"&amp;J147)+1</f>
        <v/>
      </c>
      <c r="O147">
        <f>ROUND(COUNTIF($B$2:$B$601,B147)/600*60,0)</f>
        <v/>
      </c>
      <c r="P147">
        <f>IF(N147&lt;=O147,1,0)</f>
        <v/>
      </c>
      <c r="Q147">
        <f>IF(OR(C147=4,C147=15,C147=27),1,0)</f>
        <v/>
      </c>
      <c r="R147">
        <f>IF(I147&lt;=60,1,0)</f>
        <v/>
      </c>
    </row>
    <row r="148">
      <c r="A148" t="n">
        <v>147</v>
      </c>
      <c r="B148" t="n">
        <v>1</v>
      </c>
      <c r="C148" t="n">
        <v>8</v>
      </c>
      <c r="D148" t="n">
        <v>2</v>
      </c>
      <c r="E148" t="n">
        <v>65</v>
      </c>
      <c r="F148" t="n">
        <v>0</v>
      </c>
      <c r="G148" t="n">
        <v>132</v>
      </c>
      <c r="H148" t="n">
        <v>0</v>
      </c>
      <c r="I148" t="n">
        <v>545</v>
      </c>
      <c r="J148" t="n">
        <v>0.854405</v>
      </c>
      <c r="K148">
        <f>RANK(J148,$J$2:$J$601,1)</f>
        <v/>
      </c>
      <c r="L148">
        <f>IF(K148&lt;=60,1,0)</f>
        <v/>
      </c>
      <c r="M148">
        <f>IF(MOD(A148-7,10)=0,1,0)</f>
        <v/>
      </c>
      <c r="N148">
        <f>COUNTIFS($B$2:$B$601,B148,$J$2:$J$601,"&lt;"&amp;J148)+1</f>
        <v/>
      </c>
      <c r="O148">
        <f>ROUND(COUNTIF($B$2:$B$601,B148)/600*60,0)</f>
        <v/>
      </c>
      <c r="P148">
        <f>IF(N148&lt;=O148,1,0)</f>
        <v/>
      </c>
      <c r="Q148">
        <f>IF(OR(C148=4,C148=15,C148=27),1,0)</f>
        <v/>
      </c>
      <c r="R148">
        <f>IF(I148&lt;=60,1,0)</f>
        <v/>
      </c>
    </row>
    <row r="149">
      <c r="A149" t="n">
        <v>148</v>
      </c>
      <c r="B149" t="n">
        <v>1</v>
      </c>
      <c r="C149" t="n">
        <v>8</v>
      </c>
      <c r="D149" t="n">
        <v>2</v>
      </c>
      <c r="E149" t="n">
        <v>71</v>
      </c>
      <c r="F149" t="n">
        <v>1</v>
      </c>
      <c r="G149" t="n">
        <v>138</v>
      </c>
      <c r="H149" t="n">
        <v>0</v>
      </c>
      <c r="I149" t="n">
        <v>468</v>
      </c>
      <c r="J149" t="n">
        <v>0.620449</v>
      </c>
      <c r="K149">
        <f>RANK(J149,$J$2:$J$601,1)</f>
        <v/>
      </c>
      <c r="L149">
        <f>IF(K149&lt;=60,1,0)</f>
        <v/>
      </c>
      <c r="M149">
        <f>IF(MOD(A149-7,10)=0,1,0)</f>
        <v/>
      </c>
      <c r="N149">
        <f>COUNTIFS($B$2:$B$601,B149,$J$2:$J$601,"&lt;"&amp;J149)+1</f>
        <v/>
      </c>
      <c r="O149">
        <f>ROUND(COUNTIF($B$2:$B$601,B149)/600*60,0)</f>
        <v/>
      </c>
      <c r="P149">
        <f>IF(N149&lt;=O149,1,0)</f>
        <v/>
      </c>
      <c r="Q149">
        <f>IF(OR(C149=4,C149=15,C149=27),1,0)</f>
        <v/>
      </c>
      <c r="R149">
        <f>IF(I149&lt;=60,1,0)</f>
        <v/>
      </c>
    </row>
    <row r="150">
      <c r="A150" t="n">
        <v>149</v>
      </c>
      <c r="B150" t="n">
        <v>1</v>
      </c>
      <c r="C150" t="n">
        <v>8</v>
      </c>
      <c r="D150" t="n">
        <v>1</v>
      </c>
      <c r="E150" t="n">
        <v>77</v>
      </c>
      <c r="F150" t="n">
        <v>0</v>
      </c>
      <c r="G150" t="n">
        <v>143</v>
      </c>
      <c r="H150" t="n">
        <v>1</v>
      </c>
      <c r="I150" t="n">
        <v>153</v>
      </c>
      <c r="J150" t="n">
        <v>0.583577</v>
      </c>
      <c r="K150">
        <f>RANK(J150,$J$2:$J$601,1)</f>
        <v/>
      </c>
      <c r="L150">
        <f>IF(K150&lt;=60,1,0)</f>
        <v/>
      </c>
      <c r="M150">
        <f>IF(MOD(A150-7,10)=0,1,0)</f>
        <v/>
      </c>
      <c r="N150">
        <f>COUNTIFS($B$2:$B$601,B150,$J$2:$J$601,"&lt;"&amp;J150)+1</f>
        <v/>
      </c>
      <c r="O150">
        <f>ROUND(COUNTIF($B$2:$B$601,B150)/600*60,0)</f>
        <v/>
      </c>
      <c r="P150">
        <f>IF(N150&lt;=O150,1,0)</f>
        <v/>
      </c>
      <c r="Q150">
        <f>IF(OR(C150=4,C150=15,C150=27),1,0)</f>
        <v/>
      </c>
      <c r="R150">
        <f>IF(I150&lt;=60,1,0)</f>
        <v/>
      </c>
    </row>
    <row r="151">
      <c r="A151" t="n">
        <v>150</v>
      </c>
      <c r="B151" t="n">
        <v>1</v>
      </c>
      <c r="C151" t="n">
        <v>8</v>
      </c>
      <c r="D151" t="n">
        <v>1</v>
      </c>
      <c r="E151" t="n">
        <v>49</v>
      </c>
      <c r="F151" t="n">
        <v>0</v>
      </c>
      <c r="G151" t="n">
        <v>136</v>
      </c>
      <c r="H151" t="n">
        <v>0</v>
      </c>
      <c r="I151" t="n">
        <v>159</v>
      </c>
      <c r="J151" t="n">
        <v>0.663584</v>
      </c>
      <c r="K151">
        <f>RANK(J151,$J$2:$J$601,1)</f>
        <v/>
      </c>
      <c r="L151">
        <f>IF(K151&lt;=60,1,0)</f>
        <v/>
      </c>
      <c r="M151">
        <f>IF(MOD(A151-7,10)=0,1,0)</f>
        <v/>
      </c>
      <c r="N151">
        <f>COUNTIFS($B$2:$B$601,B151,$J$2:$J$601,"&lt;"&amp;J151)+1</f>
        <v/>
      </c>
      <c r="O151">
        <f>ROUND(COUNTIF($B$2:$B$601,B151)/600*60,0)</f>
        <v/>
      </c>
      <c r="P151">
        <f>IF(N151&lt;=O151,1,0)</f>
        <v/>
      </c>
      <c r="Q151">
        <f>IF(OR(C151=4,C151=15,C151=27),1,0)</f>
        <v/>
      </c>
      <c r="R151">
        <f>IF(I151&lt;=60,1,0)</f>
        <v/>
      </c>
    </row>
    <row r="152">
      <c r="A152" t="n">
        <v>151</v>
      </c>
      <c r="B152" t="n">
        <v>1</v>
      </c>
      <c r="C152" t="n">
        <v>8</v>
      </c>
      <c r="D152" t="n">
        <v>1</v>
      </c>
      <c r="E152" t="n">
        <v>80</v>
      </c>
      <c r="F152" t="n">
        <v>0</v>
      </c>
      <c r="G152" t="n">
        <v>167</v>
      </c>
      <c r="H152" t="n">
        <v>1</v>
      </c>
      <c r="I152" t="n">
        <v>141</v>
      </c>
      <c r="J152" t="n">
        <v>0.312581</v>
      </c>
      <c r="K152">
        <f>RANK(J152,$J$2:$J$601,1)</f>
        <v/>
      </c>
      <c r="L152">
        <f>IF(K152&lt;=60,1,0)</f>
        <v/>
      </c>
      <c r="M152">
        <f>IF(MOD(A152-7,10)=0,1,0)</f>
        <v/>
      </c>
      <c r="N152">
        <f>COUNTIFS($B$2:$B$601,B152,$J$2:$J$601,"&lt;"&amp;J152)+1</f>
        <v/>
      </c>
      <c r="O152">
        <f>ROUND(COUNTIF($B$2:$B$601,B152)/600*60,0)</f>
        <v/>
      </c>
      <c r="P152">
        <f>IF(N152&lt;=O152,1,0)</f>
        <v/>
      </c>
      <c r="Q152">
        <f>IF(OR(C152=4,C152=15,C152=27),1,0)</f>
        <v/>
      </c>
      <c r="R152">
        <f>IF(I152&lt;=60,1,0)</f>
        <v/>
      </c>
    </row>
    <row r="153">
      <c r="A153" t="n">
        <v>152</v>
      </c>
      <c r="B153" t="n">
        <v>1</v>
      </c>
      <c r="C153" t="n">
        <v>8</v>
      </c>
      <c r="D153" t="n">
        <v>2</v>
      </c>
      <c r="E153" t="n">
        <v>63</v>
      </c>
      <c r="F153" t="n">
        <v>0</v>
      </c>
      <c r="G153" t="n">
        <v>167</v>
      </c>
      <c r="H153" t="n">
        <v>1</v>
      </c>
      <c r="I153" t="n">
        <v>103</v>
      </c>
      <c r="J153" t="n">
        <v>0.736062</v>
      </c>
      <c r="K153">
        <f>RANK(J153,$J$2:$J$601,1)</f>
        <v/>
      </c>
      <c r="L153">
        <f>IF(K153&lt;=60,1,0)</f>
        <v/>
      </c>
      <c r="M153">
        <f>IF(MOD(A153-7,10)=0,1,0)</f>
        <v/>
      </c>
      <c r="N153">
        <f>COUNTIFS($B$2:$B$601,B153,$J$2:$J$601,"&lt;"&amp;J153)+1</f>
        <v/>
      </c>
      <c r="O153">
        <f>ROUND(COUNTIF($B$2:$B$601,B153)/600*60,0)</f>
        <v/>
      </c>
      <c r="P153">
        <f>IF(N153&lt;=O153,1,0)</f>
        <v/>
      </c>
      <c r="Q153">
        <f>IF(OR(C153=4,C153=15,C153=27),1,0)</f>
        <v/>
      </c>
      <c r="R153">
        <f>IF(I153&lt;=60,1,0)</f>
        <v/>
      </c>
    </row>
    <row r="154">
      <c r="A154" t="n">
        <v>153</v>
      </c>
      <c r="B154" t="n">
        <v>1</v>
      </c>
      <c r="C154" t="n">
        <v>8</v>
      </c>
      <c r="D154" t="n">
        <v>1</v>
      </c>
      <c r="E154" t="n">
        <v>80</v>
      </c>
      <c r="F154" t="n">
        <v>0</v>
      </c>
      <c r="G154" t="n">
        <v>154</v>
      </c>
      <c r="H154" t="n">
        <v>1</v>
      </c>
      <c r="I154" t="n">
        <v>79</v>
      </c>
      <c r="J154" t="n">
        <v>0.598368</v>
      </c>
      <c r="K154">
        <f>RANK(J154,$J$2:$J$601,1)</f>
        <v/>
      </c>
      <c r="L154">
        <f>IF(K154&lt;=60,1,0)</f>
        <v/>
      </c>
      <c r="M154">
        <f>IF(MOD(A154-7,10)=0,1,0)</f>
        <v/>
      </c>
      <c r="N154">
        <f>COUNTIFS($B$2:$B$601,B154,$J$2:$J$601,"&lt;"&amp;J154)+1</f>
        <v/>
      </c>
      <c r="O154">
        <f>ROUND(COUNTIF($B$2:$B$601,B154)/600*60,0)</f>
        <v/>
      </c>
      <c r="P154">
        <f>IF(N154&lt;=O154,1,0)</f>
        <v/>
      </c>
      <c r="Q154">
        <f>IF(OR(C154=4,C154=15,C154=27),1,0)</f>
        <v/>
      </c>
      <c r="R154">
        <f>IF(I154&lt;=60,1,0)</f>
        <v/>
      </c>
    </row>
    <row r="155">
      <c r="A155" t="n">
        <v>154</v>
      </c>
      <c r="B155" t="n">
        <v>1</v>
      </c>
      <c r="C155" t="n">
        <v>8</v>
      </c>
      <c r="D155" t="n">
        <v>1</v>
      </c>
      <c r="E155" t="n">
        <v>74</v>
      </c>
      <c r="F155" t="n">
        <v>0</v>
      </c>
      <c r="G155" t="n">
        <v>142</v>
      </c>
      <c r="H155" t="n">
        <v>1</v>
      </c>
      <c r="I155" t="n">
        <v>11</v>
      </c>
      <c r="J155" t="n">
        <v>0.5925859999999999</v>
      </c>
      <c r="K155">
        <f>RANK(J155,$J$2:$J$601,1)</f>
        <v/>
      </c>
      <c r="L155">
        <f>IF(K155&lt;=60,1,0)</f>
        <v/>
      </c>
      <c r="M155">
        <f>IF(MOD(A155-7,10)=0,1,0)</f>
        <v/>
      </c>
      <c r="N155">
        <f>COUNTIFS($B$2:$B$601,B155,$J$2:$J$601,"&lt;"&amp;J155)+1</f>
        <v/>
      </c>
      <c r="O155">
        <f>ROUND(COUNTIF($B$2:$B$601,B155)/600*60,0)</f>
        <v/>
      </c>
      <c r="P155">
        <f>IF(N155&lt;=O155,1,0)</f>
        <v/>
      </c>
      <c r="Q155">
        <f>IF(OR(C155=4,C155=15,C155=27),1,0)</f>
        <v/>
      </c>
      <c r="R155">
        <f>IF(I155&lt;=60,1,0)</f>
        <v/>
      </c>
    </row>
    <row r="156">
      <c r="A156" t="n">
        <v>155</v>
      </c>
      <c r="B156" t="n">
        <v>1</v>
      </c>
      <c r="C156" t="n">
        <v>8</v>
      </c>
      <c r="D156" t="n">
        <v>1</v>
      </c>
      <c r="E156" t="n">
        <v>77</v>
      </c>
      <c r="F156" t="n">
        <v>0</v>
      </c>
      <c r="G156" t="n">
        <v>161</v>
      </c>
      <c r="H156" t="n">
        <v>1</v>
      </c>
      <c r="I156" t="n">
        <v>142</v>
      </c>
      <c r="J156" t="n">
        <v>0.267033</v>
      </c>
      <c r="K156">
        <f>RANK(J156,$J$2:$J$601,1)</f>
        <v/>
      </c>
      <c r="L156">
        <f>IF(K156&lt;=60,1,0)</f>
        <v/>
      </c>
      <c r="M156">
        <f>IF(MOD(A156-7,10)=0,1,0)</f>
        <v/>
      </c>
      <c r="N156">
        <f>COUNTIFS($B$2:$B$601,B156,$J$2:$J$601,"&lt;"&amp;J156)+1</f>
        <v/>
      </c>
      <c r="O156">
        <f>ROUND(COUNTIF($B$2:$B$601,B156)/600*60,0)</f>
        <v/>
      </c>
      <c r="P156">
        <f>IF(N156&lt;=O156,1,0)</f>
        <v/>
      </c>
      <c r="Q156">
        <f>IF(OR(C156=4,C156=15,C156=27),1,0)</f>
        <v/>
      </c>
      <c r="R156">
        <f>IF(I156&lt;=60,1,0)</f>
        <v/>
      </c>
    </row>
    <row r="157">
      <c r="A157" t="n">
        <v>156</v>
      </c>
      <c r="B157" t="n">
        <v>1</v>
      </c>
      <c r="C157" t="n">
        <v>8</v>
      </c>
      <c r="D157" t="n">
        <v>2</v>
      </c>
      <c r="E157" t="n">
        <v>70</v>
      </c>
      <c r="F157" t="n">
        <v>0</v>
      </c>
      <c r="G157" t="n">
        <v>144</v>
      </c>
      <c r="H157" t="n">
        <v>1</v>
      </c>
      <c r="I157" t="n">
        <v>14</v>
      </c>
      <c r="J157" t="n">
        <v>0.165836</v>
      </c>
      <c r="K157">
        <f>RANK(J157,$J$2:$J$601,1)</f>
        <v/>
      </c>
      <c r="L157">
        <f>IF(K157&lt;=60,1,0)</f>
        <v/>
      </c>
      <c r="M157">
        <f>IF(MOD(A157-7,10)=0,1,0)</f>
        <v/>
      </c>
      <c r="N157">
        <f>COUNTIFS($B$2:$B$601,B157,$J$2:$J$601,"&lt;"&amp;J157)+1</f>
        <v/>
      </c>
      <c r="O157">
        <f>ROUND(COUNTIF($B$2:$B$601,B157)/600*60,0)</f>
        <v/>
      </c>
      <c r="P157">
        <f>IF(N157&lt;=O157,1,0)</f>
        <v/>
      </c>
      <c r="Q157">
        <f>IF(OR(C157=4,C157=15,C157=27),1,0)</f>
        <v/>
      </c>
      <c r="R157">
        <f>IF(I157&lt;=60,1,0)</f>
        <v/>
      </c>
    </row>
    <row r="158">
      <c r="A158" t="n">
        <v>157</v>
      </c>
      <c r="B158" t="n">
        <v>1</v>
      </c>
      <c r="C158" t="n">
        <v>8</v>
      </c>
      <c r="D158" t="n">
        <v>1</v>
      </c>
      <c r="E158" t="n">
        <v>77</v>
      </c>
      <c r="F158" t="n">
        <v>0</v>
      </c>
      <c r="G158" t="n">
        <v>137</v>
      </c>
      <c r="H158" t="n">
        <v>0</v>
      </c>
      <c r="I158" t="n">
        <v>348</v>
      </c>
      <c r="J158" t="n">
        <v>0.753104</v>
      </c>
      <c r="K158">
        <f>RANK(J158,$J$2:$J$601,1)</f>
        <v/>
      </c>
      <c r="L158">
        <f>IF(K158&lt;=60,1,0)</f>
        <v/>
      </c>
      <c r="M158">
        <f>IF(MOD(A158-7,10)=0,1,0)</f>
        <v/>
      </c>
      <c r="N158">
        <f>COUNTIFS($B$2:$B$601,B158,$J$2:$J$601,"&lt;"&amp;J158)+1</f>
        <v/>
      </c>
      <c r="O158">
        <f>ROUND(COUNTIF($B$2:$B$601,B158)/600*60,0)</f>
        <v/>
      </c>
      <c r="P158">
        <f>IF(N158&lt;=O158,1,0)</f>
        <v/>
      </c>
      <c r="Q158">
        <f>IF(OR(C158=4,C158=15,C158=27),1,0)</f>
        <v/>
      </c>
      <c r="R158">
        <f>IF(I158&lt;=60,1,0)</f>
        <v/>
      </c>
    </row>
    <row r="159">
      <c r="A159" t="n">
        <v>158</v>
      </c>
      <c r="B159" t="n">
        <v>1</v>
      </c>
      <c r="C159" t="n">
        <v>8</v>
      </c>
      <c r="D159" t="n">
        <v>2</v>
      </c>
      <c r="E159" t="n">
        <v>46</v>
      </c>
      <c r="F159" t="n">
        <v>0</v>
      </c>
      <c r="G159" t="n">
        <v>123</v>
      </c>
      <c r="H159" t="n">
        <v>0</v>
      </c>
      <c r="I159" t="n">
        <v>497</v>
      </c>
      <c r="J159" t="n">
        <v>0.07481</v>
      </c>
      <c r="K159">
        <f>RANK(J159,$J$2:$J$601,1)</f>
        <v/>
      </c>
      <c r="L159">
        <f>IF(K159&lt;=60,1,0)</f>
        <v/>
      </c>
      <c r="M159">
        <f>IF(MOD(A159-7,10)=0,1,0)</f>
        <v/>
      </c>
      <c r="N159">
        <f>COUNTIFS($B$2:$B$601,B159,$J$2:$J$601,"&lt;"&amp;J159)+1</f>
        <v/>
      </c>
      <c r="O159">
        <f>ROUND(COUNTIF($B$2:$B$601,B159)/600*60,0)</f>
        <v/>
      </c>
      <c r="P159">
        <f>IF(N159&lt;=O159,1,0)</f>
        <v/>
      </c>
      <c r="Q159">
        <f>IF(OR(C159=4,C159=15,C159=27),1,0)</f>
        <v/>
      </c>
      <c r="R159">
        <f>IF(I159&lt;=60,1,0)</f>
        <v/>
      </c>
    </row>
    <row r="160">
      <c r="A160" t="n">
        <v>159</v>
      </c>
      <c r="B160" t="n">
        <v>1</v>
      </c>
      <c r="C160" t="n">
        <v>8</v>
      </c>
      <c r="D160" t="n">
        <v>2</v>
      </c>
      <c r="E160" t="n">
        <v>51</v>
      </c>
      <c r="F160" t="n">
        <v>1</v>
      </c>
      <c r="G160" t="n">
        <v>139</v>
      </c>
      <c r="H160" t="n">
        <v>0</v>
      </c>
      <c r="I160" t="n">
        <v>579</v>
      </c>
      <c r="J160" t="n">
        <v>0.5562</v>
      </c>
      <c r="K160">
        <f>RANK(J160,$J$2:$J$601,1)</f>
        <v/>
      </c>
      <c r="L160">
        <f>IF(K160&lt;=60,1,0)</f>
        <v/>
      </c>
      <c r="M160">
        <f>IF(MOD(A160-7,10)=0,1,0)</f>
        <v/>
      </c>
      <c r="N160">
        <f>COUNTIFS($B$2:$B$601,B160,$J$2:$J$601,"&lt;"&amp;J160)+1</f>
        <v/>
      </c>
      <c r="O160">
        <f>ROUND(COUNTIF($B$2:$B$601,B160)/600*60,0)</f>
        <v/>
      </c>
      <c r="P160">
        <f>IF(N160&lt;=O160,1,0)</f>
        <v/>
      </c>
      <c r="Q160">
        <f>IF(OR(C160=4,C160=15,C160=27),1,0)</f>
        <v/>
      </c>
      <c r="R160">
        <f>IF(I160&lt;=60,1,0)</f>
        <v/>
      </c>
    </row>
    <row r="161">
      <c r="A161" t="n">
        <v>160</v>
      </c>
      <c r="B161" t="n">
        <v>1</v>
      </c>
      <c r="C161" t="n">
        <v>8</v>
      </c>
      <c r="D161" t="n">
        <v>1</v>
      </c>
      <c r="E161" t="n">
        <v>66</v>
      </c>
      <c r="F161" t="n">
        <v>0</v>
      </c>
      <c r="G161" t="n">
        <v>156</v>
      </c>
      <c r="H161" t="n">
        <v>1</v>
      </c>
      <c r="I161" t="n">
        <v>166</v>
      </c>
      <c r="J161" t="n">
        <v>0.277735</v>
      </c>
      <c r="K161">
        <f>RANK(J161,$J$2:$J$601,1)</f>
        <v/>
      </c>
      <c r="L161">
        <f>IF(K161&lt;=60,1,0)</f>
        <v/>
      </c>
      <c r="M161">
        <f>IF(MOD(A161-7,10)=0,1,0)</f>
        <v/>
      </c>
      <c r="N161">
        <f>COUNTIFS($B$2:$B$601,B161,$J$2:$J$601,"&lt;"&amp;J161)+1</f>
        <v/>
      </c>
      <c r="O161">
        <f>ROUND(COUNTIF($B$2:$B$601,B161)/600*60,0)</f>
        <v/>
      </c>
      <c r="P161">
        <f>IF(N161&lt;=O161,1,0)</f>
        <v/>
      </c>
      <c r="Q161">
        <f>IF(OR(C161=4,C161=15,C161=27),1,0)</f>
        <v/>
      </c>
      <c r="R161">
        <f>IF(I161&lt;=60,1,0)</f>
        <v/>
      </c>
    </row>
    <row r="162">
      <c r="A162" t="n">
        <v>161</v>
      </c>
      <c r="B162" t="n">
        <v>1</v>
      </c>
      <c r="C162" t="n">
        <v>9</v>
      </c>
      <c r="D162" t="n">
        <v>2</v>
      </c>
      <c r="E162" t="n">
        <v>40</v>
      </c>
      <c r="F162" t="n">
        <v>0</v>
      </c>
      <c r="G162" t="n">
        <v>117</v>
      </c>
      <c r="H162" t="n">
        <v>0</v>
      </c>
      <c r="I162" t="n">
        <v>416</v>
      </c>
      <c r="J162" t="n">
        <v>0.725544</v>
      </c>
      <c r="K162">
        <f>RANK(J162,$J$2:$J$601,1)</f>
        <v/>
      </c>
      <c r="L162">
        <f>IF(K162&lt;=60,1,0)</f>
        <v/>
      </c>
      <c r="M162">
        <f>IF(MOD(A162-7,10)=0,1,0)</f>
        <v/>
      </c>
      <c r="N162">
        <f>COUNTIFS($B$2:$B$601,B162,$J$2:$J$601,"&lt;"&amp;J162)+1</f>
        <v/>
      </c>
      <c r="O162">
        <f>ROUND(COUNTIF($B$2:$B$601,B162)/600*60,0)</f>
        <v/>
      </c>
      <c r="P162">
        <f>IF(N162&lt;=O162,1,0)</f>
        <v/>
      </c>
      <c r="Q162">
        <f>IF(OR(C162=4,C162=15,C162=27),1,0)</f>
        <v/>
      </c>
      <c r="R162">
        <f>IF(I162&lt;=60,1,0)</f>
        <v/>
      </c>
    </row>
    <row r="163">
      <c r="A163" t="n">
        <v>162</v>
      </c>
      <c r="B163" t="n">
        <v>1</v>
      </c>
      <c r="C163" t="n">
        <v>9</v>
      </c>
      <c r="D163" t="n">
        <v>2</v>
      </c>
      <c r="E163" t="n">
        <v>49</v>
      </c>
      <c r="F163" t="n">
        <v>0</v>
      </c>
      <c r="G163" t="n">
        <v>147</v>
      </c>
      <c r="H163" t="n">
        <v>1</v>
      </c>
      <c r="I163" t="n">
        <v>63</v>
      </c>
      <c r="J163" t="n">
        <v>0.8667280000000001</v>
      </c>
      <c r="K163">
        <f>RANK(J163,$J$2:$J$601,1)</f>
        <v/>
      </c>
      <c r="L163">
        <f>IF(K163&lt;=60,1,0)</f>
        <v/>
      </c>
      <c r="M163">
        <f>IF(MOD(A163-7,10)=0,1,0)</f>
        <v/>
      </c>
      <c r="N163">
        <f>COUNTIFS($B$2:$B$601,B163,$J$2:$J$601,"&lt;"&amp;J163)+1</f>
        <v/>
      </c>
      <c r="O163">
        <f>ROUND(COUNTIF($B$2:$B$601,B163)/600*60,0)</f>
        <v/>
      </c>
      <c r="P163">
        <f>IF(N163&lt;=O163,1,0)</f>
        <v/>
      </c>
      <c r="Q163">
        <f>IF(OR(C163=4,C163=15,C163=27),1,0)</f>
        <v/>
      </c>
      <c r="R163">
        <f>IF(I163&lt;=60,1,0)</f>
        <v/>
      </c>
    </row>
    <row r="164">
      <c r="A164" t="n">
        <v>163</v>
      </c>
      <c r="B164" t="n">
        <v>1</v>
      </c>
      <c r="C164" t="n">
        <v>9</v>
      </c>
      <c r="D164" t="n">
        <v>2</v>
      </c>
      <c r="E164" t="n">
        <v>42</v>
      </c>
      <c r="F164" t="n">
        <v>1</v>
      </c>
      <c r="G164" t="n">
        <v>132</v>
      </c>
      <c r="H164" t="n">
        <v>0</v>
      </c>
      <c r="I164" t="n">
        <v>204</v>
      </c>
      <c r="J164" t="n">
        <v>0.744015</v>
      </c>
      <c r="K164">
        <f>RANK(J164,$J$2:$J$601,1)</f>
        <v/>
      </c>
      <c r="L164">
        <f>IF(K164&lt;=60,1,0)</f>
        <v/>
      </c>
      <c r="M164">
        <f>IF(MOD(A164-7,10)=0,1,0)</f>
        <v/>
      </c>
      <c r="N164">
        <f>COUNTIFS($B$2:$B$601,B164,$J$2:$J$601,"&lt;"&amp;J164)+1</f>
        <v/>
      </c>
      <c r="O164">
        <f>ROUND(COUNTIF($B$2:$B$601,B164)/600*60,0)</f>
        <v/>
      </c>
      <c r="P164">
        <f>IF(N164&lt;=O164,1,0)</f>
        <v/>
      </c>
      <c r="Q164">
        <f>IF(OR(C164=4,C164=15,C164=27),1,0)</f>
        <v/>
      </c>
      <c r="R164">
        <f>IF(I164&lt;=60,1,0)</f>
        <v/>
      </c>
    </row>
    <row r="165">
      <c r="A165" t="n">
        <v>164</v>
      </c>
      <c r="B165" t="n">
        <v>1</v>
      </c>
      <c r="C165" t="n">
        <v>9</v>
      </c>
      <c r="D165" t="n">
        <v>2</v>
      </c>
      <c r="E165" t="n">
        <v>80</v>
      </c>
      <c r="F165" t="n">
        <v>1</v>
      </c>
      <c r="G165" t="n">
        <v>163</v>
      </c>
      <c r="H165" t="n">
        <v>1</v>
      </c>
      <c r="I165" t="n">
        <v>61</v>
      </c>
      <c r="J165" t="n">
        <v>0.270485</v>
      </c>
      <c r="K165">
        <f>RANK(J165,$J$2:$J$601,1)</f>
        <v/>
      </c>
      <c r="L165">
        <f>IF(K165&lt;=60,1,0)</f>
        <v/>
      </c>
      <c r="M165">
        <f>IF(MOD(A165-7,10)=0,1,0)</f>
        <v/>
      </c>
      <c r="N165">
        <f>COUNTIFS($B$2:$B$601,B165,$J$2:$J$601,"&lt;"&amp;J165)+1</f>
        <v/>
      </c>
      <c r="O165">
        <f>ROUND(COUNTIF($B$2:$B$601,B165)/600*60,0)</f>
        <v/>
      </c>
      <c r="P165">
        <f>IF(N165&lt;=O165,1,0)</f>
        <v/>
      </c>
      <c r="Q165">
        <f>IF(OR(C165=4,C165=15,C165=27),1,0)</f>
        <v/>
      </c>
      <c r="R165">
        <f>IF(I165&lt;=60,1,0)</f>
        <v/>
      </c>
    </row>
    <row r="166">
      <c r="A166" t="n">
        <v>165</v>
      </c>
      <c r="B166" t="n">
        <v>1</v>
      </c>
      <c r="C166" t="n">
        <v>9</v>
      </c>
      <c r="D166" t="n">
        <v>1</v>
      </c>
      <c r="E166" t="n">
        <v>80</v>
      </c>
      <c r="F166" t="n">
        <v>0</v>
      </c>
      <c r="G166" t="n">
        <v>155</v>
      </c>
      <c r="H166" t="n">
        <v>1</v>
      </c>
      <c r="I166" t="n">
        <v>57</v>
      </c>
      <c r="J166" t="n">
        <v>0.044987</v>
      </c>
      <c r="K166">
        <f>RANK(J166,$J$2:$J$601,1)</f>
        <v/>
      </c>
      <c r="L166">
        <f>IF(K166&lt;=60,1,0)</f>
        <v/>
      </c>
      <c r="M166">
        <f>IF(MOD(A166-7,10)=0,1,0)</f>
        <v/>
      </c>
      <c r="N166">
        <f>COUNTIFS($B$2:$B$601,B166,$J$2:$J$601,"&lt;"&amp;J166)+1</f>
        <v/>
      </c>
      <c r="O166">
        <f>ROUND(COUNTIF($B$2:$B$601,B166)/600*60,0)</f>
        <v/>
      </c>
      <c r="P166">
        <f>IF(N166&lt;=O166,1,0)</f>
        <v/>
      </c>
      <c r="Q166">
        <f>IF(OR(C166=4,C166=15,C166=27),1,0)</f>
        <v/>
      </c>
      <c r="R166">
        <f>IF(I166&lt;=60,1,0)</f>
        <v/>
      </c>
    </row>
    <row r="167">
      <c r="A167" t="n">
        <v>166</v>
      </c>
      <c r="B167" t="n">
        <v>1</v>
      </c>
      <c r="C167" t="n">
        <v>9</v>
      </c>
      <c r="D167" t="n">
        <v>1</v>
      </c>
      <c r="E167" t="n">
        <v>50</v>
      </c>
      <c r="F167" t="n">
        <v>0</v>
      </c>
      <c r="G167" t="n">
        <v>138</v>
      </c>
      <c r="H167" t="n">
        <v>0</v>
      </c>
      <c r="I167" t="n">
        <v>209</v>
      </c>
      <c r="J167" t="n">
        <v>0.373719</v>
      </c>
      <c r="K167">
        <f>RANK(J167,$J$2:$J$601,1)</f>
        <v/>
      </c>
      <c r="L167">
        <f>IF(K167&lt;=60,1,0)</f>
        <v/>
      </c>
      <c r="M167">
        <f>IF(MOD(A167-7,10)=0,1,0)</f>
        <v/>
      </c>
      <c r="N167">
        <f>COUNTIFS($B$2:$B$601,B167,$J$2:$J$601,"&lt;"&amp;J167)+1</f>
        <v/>
      </c>
      <c r="O167">
        <f>ROUND(COUNTIF($B$2:$B$601,B167)/600*60,0)</f>
        <v/>
      </c>
      <c r="P167">
        <f>IF(N167&lt;=O167,1,0)</f>
        <v/>
      </c>
      <c r="Q167">
        <f>IF(OR(C167=4,C167=15,C167=27),1,0)</f>
        <v/>
      </c>
      <c r="R167">
        <f>IF(I167&lt;=60,1,0)</f>
        <v/>
      </c>
    </row>
    <row r="168">
      <c r="A168" t="n">
        <v>167</v>
      </c>
      <c r="B168" t="n">
        <v>1</v>
      </c>
      <c r="C168" t="n">
        <v>9</v>
      </c>
      <c r="D168" t="n">
        <v>2</v>
      </c>
      <c r="E168" t="n">
        <v>73</v>
      </c>
      <c r="F168" t="n">
        <v>0</v>
      </c>
      <c r="G168" t="n">
        <v>161</v>
      </c>
      <c r="H168" t="n">
        <v>1</v>
      </c>
      <c r="I168" t="n">
        <v>78</v>
      </c>
      <c r="J168" t="n">
        <v>0.064862</v>
      </c>
      <c r="K168">
        <f>RANK(J168,$J$2:$J$601,1)</f>
        <v/>
      </c>
      <c r="L168">
        <f>IF(K168&lt;=60,1,0)</f>
        <v/>
      </c>
      <c r="M168">
        <f>IF(MOD(A168-7,10)=0,1,0)</f>
        <v/>
      </c>
      <c r="N168">
        <f>COUNTIFS($B$2:$B$601,B168,$J$2:$J$601,"&lt;"&amp;J168)+1</f>
        <v/>
      </c>
      <c r="O168">
        <f>ROUND(COUNTIF($B$2:$B$601,B168)/600*60,0)</f>
        <v/>
      </c>
      <c r="P168">
        <f>IF(N168&lt;=O168,1,0)</f>
        <v/>
      </c>
      <c r="Q168">
        <f>IF(OR(C168=4,C168=15,C168=27),1,0)</f>
        <v/>
      </c>
      <c r="R168">
        <f>IF(I168&lt;=60,1,0)</f>
        <v/>
      </c>
    </row>
    <row r="169">
      <c r="A169" t="n">
        <v>168</v>
      </c>
      <c r="B169" t="n">
        <v>1</v>
      </c>
      <c r="C169" t="n">
        <v>9</v>
      </c>
      <c r="D169" t="n">
        <v>2</v>
      </c>
      <c r="E169" t="n">
        <v>56</v>
      </c>
      <c r="F169" t="n">
        <v>1</v>
      </c>
      <c r="G169" t="n">
        <v>121</v>
      </c>
      <c r="H169" t="n">
        <v>0</v>
      </c>
      <c r="I169" t="n">
        <v>354</v>
      </c>
      <c r="J169" t="n">
        <v>0.926945</v>
      </c>
      <c r="K169">
        <f>RANK(J169,$J$2:$J$601,1)</f>
        <v/>
      </c>
      <c r="L169">
        <f>IF(K169&lt;=60,1,0)</f>
        <v/>
      </c>
      <c r="M169">
        <f>IF(MOD(A169-7,10)=0,1,0)</f>
        <v/>
      </c>
      <c r="N169">
        <f>COUNTIFS($B$2:$B$601,B169,$J$2:$J$601,"&lt;"&amp;J169)+1</f>
        <v/>
      </c>
      <c r="O169">
        <f>ROUND(COUNTIF($B$2:$B$601,B169)/600*60,0)</f>
        <v/>
      </c>
      <c r="P169">
        <f>IF(N169&lt;=O169,1,0)</f>
        <v/>
      </c>
      <c r="Q169">
        <f>IF(OR(C169=4,C169=15,C169=27),1,0)</f>
        <v/>
      </c>
      <c r="R169">
        <f>IF(I169&lt;=60,1,0)</f>
        <v/>
      </c>
    </row>
    <row r="170">
      <c r="A170" t="n">
        <v>169</v>
      </c>
      <c r="B170" t="n">
        <v>1</v>
      </c>
      <c r="C170" t="n">
        <v>9</v>
      </c>
      <c r="D170" t="n">
        <v>1</v>
      </c>
      <c r="E170" t="n">
        <v>47</v>
      </c>
      <c r="F170" t="n">
        <v>0</v>
      </c>
      <c r="G170" t="n">
        <v>115</v>
      </c>
      <c r="H170" t="n">
        <v>0</v>
      </c>
      <c r="I170" t="n">
        <v>301</v>
      </c>
      <c r="J170" t="n">
        <v>0.142925</v>
      </c>
      <c r="K170">
        <f>RANK(J170,$J$2:$J$601,1)</f>
        <v/>
      </c>
      <c r="L170">
        <f>IF(K170&lt;=60,1,0)</f>
        <v/>
      </c>
      <c r="M170">
        <f>IF(MOD(A170-7,10)=0,1,0)</f>
        <v/>
      </c>
      <c r="N170">
        <f>COUNTIFS($B$2:$B$601,B170,$J$2:$J$601,"&lt;"&amp;J170)+1</f>
        <v/>
      </c>
      <c r="O170">
        <f>ROUND(COUNTIF($B$2:$B$601,B170)/600*60,0)</f>
        <v/>
      </c>
      <c r="P170">
        <f>IF(N170&lt;=O170,1,0)</f>
        <v/>
      </c>
      <c r="Q170">
        <f>IF(OR(C170=4,C170=15,C170=27),1,0)</f>
        <v/>
      </c>
      <c r="R170">
        <f>IF(I170&lt;=60,1,0)</f>
        <v/>
      </c>
    </row>
    <row r="171">
      <c r="A171" t="n">
        <v>170</v>
      </c>
      <c r="B171" t="n">
        <v>1</v>
      </c>
      <c r="C171" t="n">
        <v>9</v>
      </c>
      <c r="D171" t="n">
        <v>2</v>
      </c>
      <c r="E171" t="n">
        <v>37</v>
      </c>
      <c r="F171" t="n">
        <v>0</v>
      </c>
      <c r="G171" t="n">
        <v>142</v>
      </c>
      <c r="H171" t="n">
        <v>1</v>
      </c>
      <c r="I171" t="n">
        <v>314</v>
      </c>
      <c r="J171" t="n">
        <v>0.525338</v>
      </c>
      <c r="K171">
        <f>RANK(J171,$J$2:$J$601,1)</f>
        <v/>
      </c>
      <c r="L171">
        <f>IF(K171&lt;=60,1,0)</f>
        <v/>
      </c>
      <c r="M171">
        <f>IF(MOD(A171-7,10)=0,1,0)</f>
        <v/>
      </c>
      <c r="N171">
        <f>COUNTIFS($B$2:$B$601,B171,$J$2:$J$601,"&lt;"&amp;J171)+1</f>
        <v/>
      </c>
      <c r="O171">
        <f>ROUND(COUNTIF($B$2:$B$601,B171)/600*60,0)</f>
        <v/>
      </c>
      <c r="P171">
        <f>IF(N171&lt;=O171,1,0)</f>
        <v/>
      </c>
      <c r="Q171">
        <f>IF(OR(C171=4,C171=15,C171=27),1,0)</f>
        <v/>
      </c>
      <c r="R171">
        <f>IF(I171&lt;=60,1,0)</f>
        <v/>
      </c>
    </row>
    <row r="172">
      <c r="A172" t="n">
        <v>171</v>
      </c>
      <c r="B172" t="n">
        <v>1</v>
      </c>
      <c r="C172" t="n">
        <v>9</v>
      </c>
      <c r="D172" t="n">
        <v>2</v>
      </c>
      <c r="E172" t="n">
        <v>75</v>
      </c>
      <c r="F172" t="n">
        <v>1</v>
      </c>
      <c r="G172" t="n">
        <v>155</v>
      </c>
      <c r="H172" t="n">
        <v>1</v>
      </c>
      <c r="I172" t="n">
        <v>3</v>
      </c>
      <c r="J172" t="n">
        <v>0.484026</v>
      </c>
      <c r="K172">
        <f>RANK(J172,$J$2:$J$601,1)</f>
        <v/>
      </c>
      <c r="L172">
        <f>IF(K172&lt;=60,1,0)</f>
        <v/>
      </c>
      <c r="M172">
        <f>IF(MOD(A172-7,10)=0,1,0)</f>
        <v/>
      </c>
      <c r="N172">
        <f>COUNTIFS($B$2:$B$601,B172,$J$2:$J$601,"&lt;"&amp;J172)+1</f>
        <v/>
      </c>
      <c r="O172">
        <f>ROUND(COUNTIF($B$2:$B$601,B172)/600*60,0)</f>
        <v/>
      </c>
      <c r="P172">
        <f>IF(N172&lt;=O172,1,0)</f>
        <v/>
      </c>
      <c r="Q172">
        <f>IF(OR(C172=4,C172=15,C172=27),1,0)</f>
        <v/>
      </c>
      <c r="R172">
        <f>IF(I172&lt;=60,1,0)</f>
        <v/>
      </c>
    </row>
    <row r="173">
      <c r="A173" t="n">
        <v>172</v>
      </c>
      <c r="B173" t="n">
        <v>1</v>
      </c>
      <c r="C173" t="n">
        <v>9</v>
      </c>
      <c r="D173" t="n">
        <v>2</v>
      </c>
      <c r="E173" t="n">
        <v>76</v>
      </c>
      <c r="F173" t="n">
        <v>1</v>
      </c>
      <c r="G173" t="n">
        <v>178</v>
      </c>
      <c r="H173" t="n">
        <v>1</v>
      </c>
      <c r="I173" t="n">
        <v>2</v>
      </c>
      <c r="J173" t="n">
        <v>0.115895</v>
      </c>
      <c r="K173">
        <f>RANK(J173,$J$2:$J$601,1)</f>
        <v/>
      </c>
      <c r="L173">
        <f>IF(K173&lt;=60,1,0)</f>
        <v/>
      </c>
      <c r="M173">
        <f>IF(MOD(A173-7,10)=0,1,0)</f>
        <v/>
      </c>
      <c r="N173">
        <f>COUNTIFS($B$2:$B$601,B173,$J$2:$J$601,"&lt;"&amp;J173)+1</f>
        <v/>
      </c>
      <c r="O173">
        <f>ROUND(COUNTIF($B$2:$B$601,B173)/600*60,0)</f>
        <v/>
      </c>
      <c r="P173">
        <f>IF(N173&lt;=O173,1,0)</f>
        <v/>
      </c>
      <c r="Q173">
        <f>IF(OR(C173=4,C173=15,C173=27),1,0)</f>
        <v/>
      </c>
      <c r="R173">
        <f>IF(I173&lt;=60,1,0)</f>
        <v/>
      </c>
    </row>
    <row r="174">
      <c r="A174" t="n">
        <v>173</v>
      </c>
      <c r="B174" t="n">
        <v>1</v>
      </c>
      <c r="C174" t="n">
        <v>9</v>
      </c>
      <c r="D174" t="n">
        <v>2</v>
      </c>
      <c r="E174" t="n">
        <v>35</v>
      </c>
      <c r="F174" t="n">
        <v>0</v>
      </c>
      <c r="G174" t="n">
        <v>119</v>
      </c>
      <c r="H174" t="n">
        <v>0</v>
      </c>
      <c r="I174" t="n">
        <v>196</v>
      </c>
      <c r="J174" t="n">
        <v>0.243892</v>
      </c>
      <c r="K174">
        <f>RANK(J174,$J$2:$J$601,1)</f>
        <v/>
      </c>
      <c r="L174">
        <f>IF(K174&lt;=60,1,0)</f>
        <v/>
      </c>
      <c r="M174">
        <f>IF(MOD(A174-7,10)=0,1,0)</f>
        <v/>
      </c>
      <c r="N174">
        <f>COUNTIFS($B$2:$B$601,B174,$J$2:$J$601,"&lt;"&amp;J174)+1</f>
        <v/>
      </c>
      <c r="O174">
        <f>ROUND(COUNTIF($B$2:$B$601,B174)/600*60,0)</f>
        <v/>
      </c>
      <c r="P174">
        <f>IF(N174&lt;=O174,1,0)</f>
        <v/>
      </c>
      <c r="Q174">
        <f>IF(OR(C174=4,C174=15,C174=27),1,0)</f>
        <v/>
      </c>
      <c r="R174">
        <f>IF(I174&lt;=60,1,0)</f>
        <v/>
      </c>
    </row>
    <row r="175">
      <c r="A175" t="n">
        <v>174</v>
      </c>
      <c r="B175" t="n">
        <v>1</v>
      </c>
      <c r="C175" t="n">
        <v>9</v>
      </c>
      <c r="D175" t="n">
        <v>1</v>
      </c>
      <c r="E175" t="n">
        <v>65</v>
      </c>
      <c r="F175" t="n">
        <v>0</v>
      </c>
      <c r="G175" t="n">
        <v>142</v>
      </c>
      <c r="H175" t="n">
        <v>1</v>
      </c>
      <c r="I175" t="n">
        <v>164</v>
      </c>
      <c r="J175" t="n">
        <v>0.109467</v>
      </c>
      <c r="K175">
        <f>RANK(J175,$J$2:$J$601,1)</f>
        <v/>
      </c>
      <c r="L175">
        <f>IF(K175&lt;=60,1,0)</f>
        <v/>
      </c>
      <c r="M175">
        <f>IF(MOD(A175-7,10)=0,1,0)</f>
        <v/>
      </c>
      <c r="N175">
        <f>COUNTIFS($B$2:$B$601,B175,$J$2:$J$601,"&lt;"&amp;J175)+1</f>
        <v/>
      </c>
      <c r="O175">
        <f>ROUND(COUNTIF($B$2:$B$601,B175)/600*60,0)</f>
        <v/>
      </c>
      <c r="P175">
        <f>IF(N175&lt;=O175,1,0)</f>
        <v/>
      </c>
      <c r="Q175">
        <f>IF(OR(C175=4,C175=15,C175=27),1,0)</f>
        <v/>
      </c>
      <c r="R175">
        <f>IF(I175&lt;=60,1,0)</f>
        <v/>
      </c>
    </row>
    <row r="176">
      <c r="A176" t="n">
        <v>175</v>
      </c>
      <c r="B176" t="n">
        <v>1</v>
      </c>
      <c r="C176" t="n">
        <v>9</v>
      </c>
      <c r="D176" t="n">
        <v>1</v>
      </c>
      <c r="E176" t="n">
        <v>60</v>
      </c>
      <c r="F176" t="n">
        <v>0</v>
      </c>
      <c r="G176" t="n">
        <v>158</v>
      </c>
      <c r="H176" t="n">
        <v>1</v>
      </c>
      <c r="I176" t="n">
        <v>51</v>
      </c>
      <c r="J176" t="n">
        <v>0.02516</v>
      </c>
      <c r="K176">
        <f>RANK(J176,$J$2:$J$601,1)</f>
        <v/>
      </c>
      <c r="L176">
        <f>IF(K176&lt;=60,1,0)</f>
        <v/>
      </c>
      <c r="M176">
        <f>IF(MOD(A176-7,10)=0,1,0)</f>
        <v/>
      </c>
      <c r="N176">
        <f>COUNTIFS($B$2:$B$601,B176,$J$2:$J$601,"&lt;"&amp;J176)+1</f>
        <v/>
      </c>
      <c r="O176">
        <f>ROUND(COUNTIF($B$2:$B$601,B176)/600*60,0)</f>
        <v/>
      </c>
      <c r="P176">
        <f>IF(N176&lt;=O176,1,0)</f>
        <v/>
      </c>
      <c r="Q176">
        <f>IF(OR(C176=4,C176=15,C176=27),1,0)</f>
        <v/>
      </c>
      <c r="R176">
        <f>IF(I176&lt;=60,1,0)</f>
        <v/>
      </c>
    </row>
    <row r="177">
      <c r="A177" t="n">
        <v>176</v>
      </c>
      <c r="B177" t="n">
        <v>1</v>
      </c>
      <c r="C177" t="n">
        <v>9</v>
      </c>
      <c r="D177" t="n">
        <v>2</v>
      </c>
      <c r="E177" t="n">
        <v>61</v>
      </c>
      <c r="F177" t="n">
        <v>0</v>
      </c>
      <c r="G177" t="n">
        <v>155</v>
      </c>
      <c r="H177" t="n">
        <v>1</v>
      </c>
      <c r="I177" t="n">
        <v>40</v>
      </c>
      <c r="J177" t="n">
        <v>0.645357</v>
      </c>
      <c r="K177">
        <f>RANK(J177,$J$2:$J$601,1)</f>
        <v/>
      </c>
      <c r="L177">
        <f>IF(K177&lt;=60,1,0)</f>
        <v/>
      </c>
      <c r="M177">
        <f>IF(MOD(A177-7,10)=0,1,0)</f>
        <v/>
      </c>
      <c r="N177">
        <f>COUNTIFS($B$2:$B$601,B177,$J$2:$J$601,"&lt;"&amp;J177)+1</f>
        <v/>
      </c>
      <c r="O177">
        <f>ROUND(COUNTIF($B$2:$B$601,B177)/600*60,0)</f>
        <v/>
      </c>
      <c r="P177">
        <f>IF(N177&lt;=O177,1,0)</f>
        <v/>
      </c>
      <c r="Q177">
        <f>IF(OR(C177=4,C177=15,C177=27),1,0)</f>
        <v/>
      </c>
      <c r="R177">
        <f>IF(I177&lt;=60,1,0)</f>
        <v/>
      </c>
    </row>
    <row r="178">
      <c r="A178" t="n">
        <v>177</v>
      </c>
      <c r="B178" t="n">
        <v>1</v>
      </c>
      <c r="C178" t="n">
        <v>9</v>
      </c>
      <c r="D178" t="n">
        <v>1</v>
      </c>
      <c r="E178" t="n">
        <v>62</v>
      </c>
      <c r="F178" t="n">
        <v>0</v>
      </c>
      <c r="G178" t="n">
        <v>138</v>
      </c>
      <c r="H178" t="n">
        <v>0</v>
      </c>
      <c r="I178" t="n">
        <v>406</v>
      </c>
      <c r="J178" t="n">
        <v>0.615058</v>
      </c>
      <c r="K178">
        <f>RANK(J178,$J$2:$J$601,1)</f>
        <v/>
      </c>
      <c r="L178">
        <f>IF(K178&lt;=60,1,0)</f>
        <v/>
      </c>
      <c r="M178">
        <f>IF(MOD(A178-7,10)=0,1,0)</f>
        <v/>
      </c>
      <c r="N178">
        <f>COUNTIFS($B$2:$B$601,B178,$J$2:$J$601,"&lt;"&amp;J178)+1</f>
        <v/>
      </c>
      <c r="O178">
        <f>ROUND(COUNTIF($B$2:$B$601,B178)/600*60,0)</f>
        <v/>
      </c>
      <c r="P178">
        <f>IF(N178&lt;=O178,1,0)</f>
        <v/>
      </c>
      <c r="Q178">
        <f>IF(OR(C178=4,C178=15,C178=27),1,0)</f>
        <v/>
      </c>
      <c r="R178">
        <f>IF(I178&lt;=60,1,0)</f>
        <v/>
      </c>
    </row>
    <row r="179">
      <c r="A179" t="n">
        <v>178</v>
      </c>
      <c r="B179" t="n">
        <v>1</v>
      </c>
      <c r="C179" t="n">
        <v>9</v>
      </c>
      <c r="D179" t="n">
        <v>1</v>
      </c>
      <c r="E179" t="n">
        <v>71</v>
      </c>
      <c r="F179" t="n">
        <v>1</v>
      </c>
      <c r="G179" t="n">
        <v>132</v>
      </c>
      <c r="H179" t="n">
        <v>0</v>
      </c>
      <c r="I179" t="n">
        <v>198</v>
      </c>
      <c r="J179" t="n">
        <v>0.328135</v>
      </c>
      <c r="K179">
        <f>RANK(J179,$J$2:$J$601,1)</f>
        <v/>
      </c>
      <c r="L179">
        <f>IF(K179&lt;=60,1,0)</f>
        <v/>
      </c>
      <c r="M179">
        <f>IF(MOD(A179-7,10)=0,1,0)</f>
        <v/>
      </c>
      <c r="N179">
        <f>COUNTIFS($B$2:$B$601,B179,$J$2:$J$601,"&lt;"&amp;J179)+1</f>
        <v/>
      </c>
      <c r="O179">
        <f>ROUND(COUNTIF($B$2:$B$601,B179)/600*60,0)</f>
        <v/>
      </c>
      <c r="P179">
        <f>IF(N179&lt;=O179,1,0)</f>
        <v/>
      </c>
      <c r="Q179">
        <f>IF(OR(C179=4,C179=15,C179=27),1,0)</f>
        <v/>
      </c>
      <c r="R179">
        <f>IF(I179&lt;=60,1,0)</f>
        <v/>
      </c>
    </row>
    <row r="180">
      <c r="A180" t="n">
        <v>179</v>
      </c>
      <c r="B180" t="n">
        <v>1</v>
      </c>
      <c r="C180" t="n">
        <v>9</v>
      </c>
      <c r="D180" t="n">
        <v>1</v>
      </c>
      <c r="E180" t="n">
        <v>36</v>
      </c>
      <c r="F180" t="n">
        <v>0</v>
      </c>
      <c r="G180" t="n">
        <v>129</v>
      </c>
      <c r="H180" t="n">
        <v>0</v>
      </c>
      <c r="I180" t="n">
        <v>507</v>
      </c>
      <c r="J180" t="n">
        <v>0.701711</v>
      </c>
      <c r="K180">
        <f>RANK(J180,$J$2:$J$601,1)</f>
        <v/>
      </c>
      <c r="L180">
        <f>IF(K180&lt;=60,1,0)</f>
        <v/>
      </c>
      <c r="M180">
        <f>IF(MOD(A180-7,10)=0,1,0)</f>
        <v/>
      </c>
      <c r="N180">
        <f>COUNTIFS($B$2:$B$601,B180,$J$2:$J$601,"&lt;"&amp;J180)+1</f>
        <v/>
      </c>
      <c r="O180">
        <f>ROUND(COUNTIF($B$2:$B$601,B180)/600*60,0)</f>
        <v/>
      </c>
      <c r="P180">
        <f>IF(N180&lt;=O180,1,0)</f>
        <v/>
      </c>
      <c r="Q180">
        <f>IF(OR(C180=4,C180=15,C180=27),1,0)</f>
        <v/>
      </c>
      <c r="R180">
        <f>IF(I180&lt;=60,1,0)</f>
        <v/>
      </c>
    </row>
    <row r="181">
      <c r="A181" t="n">
        <v>180</v>
      </c>
      <c r="B181" t="n">
        <v>1</v>
      </c>
      <c r="C181" t="n">
        <v>9</v>
      </c>
      <c r="D181" t="n">
        <v>1</v>
      </c>
      <c r="E181" t="n">
        <v>80</v>
      </c>
      <c r="F181" t="n">
        <v>0</v>
      </c>
      <c r="G181" t="n">
        <v>153</v>
      </c>
      <c r="H181" t="n">
        <v>1</v>
      </c>
      <c r="I181" t="n">
        <v>52</v>
      </c>
      <c r="J181" t="n">
        <v>0.212309</v>
      </c>
      <c r="K181">
        <f>RANK(J181,$J$2:$J$601,1)</f>
        <v/>
      </c>
      <c r="L181">
        <f>IF(K181&lt;=60,1,0)</f>
        <v/>
      </c>
      <c r="M181">
        <f>IF(MOD(A181-7,10)=0,1,0)</f>
        <v/>
      </c>
      <c r="N181">
        <f>COUNTIFS($B$2:$B$601,B181,$J$2:$J$601,"&lt;"&amp;J181)+1</f>
        <v/>
      </c>
      <c r="O181">
        <f>ROUND(COUNTIF($B$2:$B$601,B181)/600*60,0)</f>
        <v/>
      </c>
      <c r="P181">
        <f>IF(N181&lt;=O181,1,0)</f>
        <v/>
      </c>
      <c r="Q181">
        <f>IF(OR(C181=4,C181=15,C181=27),1,0)</f>
        <v/>
      </c>
      <c r="R181">
        <f>IF(I181&lt;=60,1,0)</f>
        <v/>
      </c>
    </row>
    <row r="182">
      <c r="A182" t="n">
        <v>181</v>
      </c>
      <c r="B182" t="n">
        <v>1</v>
      </c>
      <c r="C182" t="n">
        <v>10</v>
      </c>
      <c r="D182" t="n">
        <v>2</v>
      </c>
      <c r="E182" t="n">
        <v>64</v>
      </c>
      <c r="F182" t="n">
        <v>0</v>
      </c>
      <c r="G182" t="n">
        <v>144</v>
      </c>
      <c r="H182" t="n">
        <v>1</v>
      </c>
      <c r="I182" t="n">
        <v>99</v>
      </c>
      <c r="J182" t="n">
        <v>0.407724</v>
      </c>
      <c r="K182">
        <f>RANK(J182,$J$2:$J$601,1)</f>
        <v/>
      </c>
      <c r="L182">
        <f>IF(K182&lt;=60,1,0)</f>
        <v/>
      </c>
      <c r="M182">
        <f>IF(MOD(A182-7,10)=0,1,0)</f>
        <v/>
      </c>
      <c r="N182">
        <f>COUNTIFS($B$2:$B$601,B182,$J$2:$J$601,"&lt;"&amp;J182)+1</f>
        <v/>
      </c>
      <c r="O182">
        <f>ROUND(COUNTIF($B$2:$B$601,B182)/600*60,0)</f>
        <v/>
      </c>
      <c r="P182">
        <f>IF(N182&lt;=O182,1,0)</f>
        <v/>
      </c>
      <c r="Q182">
        <f>IF(OR(C182=4,C182=15,C182=27),1,0)</f>
        <v/>
      </c>
      <c r="R182">
        <f>IF(I182&lt;=60,1,0)</f>
        <v/>
      </c>
    </row>
    <row r="183">
      <c r="A183" t="n">
        <v>182</v>
      </c>
      <c r="B183" t="n">
        <v>1</v>
      </c>
      <c r="C183" t="n">
        <v>10</v>
      </c>
      <c r="D183" t="n">
        <v>1</v>
      </c>
      <c r="E183" t="n">
        <v>51</v>
      </c>
      <c r="F183" t="n">
        <v>0</v>
      </c>
      <c r="G183" t="n">
        <v>144</v>
      </c>
      <c r="H183" t="n">
        <v>1</v>
      </c>
      <c r="I183" t="n">
        <v>88</v>
      </c>
      <c r="J183" t="n">
        <v>0.864487</v>
      </c>
      <c r="K183">
        <f>RANK(J183,$J$2:$J$601,1)</f>
        <v/>
      </c>
      <c r="L183">
        <f>IF(K183&lt;=60,1,0)</f>
        <v/>
      </c>
      <c r="M183">
        <f>IF(MOD(A183-7,10)=0,1,0)</f>
        <v/>
      </c>
      <c r="N183">
        <f>COUNTIFS($B$2:$B$601,B183,$J$2:$J$601,"&lt;"&amp;J183)+1</f>
        <v/>
      </c>
      <c r="O183">
        <f>ROUND(COUNTIF($B$2:$B$601,B183)/600*60,0)</f>
        <v/>
      </c>
      <c r="P183">
        <f>IF(N183&lt;=O183,1,0)</f>
        <v/>
      </c>
      <c r="Q183">
        <f>IF(OR(C183=4,C183=15,C183=27),1,0)</f>
        <v/>
      </c>
      <c r="R183">
        <f>IF(I183&lt;=60,1,0)</f>
        <v/>
      </c>
    </row>
    <row r="184">
      <c r="A184" t="n">
        <v>183</v>
      </c>
      <c r="B184" t="n">
        <v>1</v>
      </c>
      <c r="C184" t="n">
        <v>10</v>
      </c>
      <c r="D184" t="n">
        <v>2</v>
      </c>
      <c r="E184" t="n">
        <v>43</v>
      </c>
      <c r="F184" t="n">
        <v>1</v>
      </c>
      <c r="G184" t="n">
        <v>127</v>
      </c>
      <c r="H184" t="n">
        <v>0</v>
      </c>
      <c r="I184" t="n">
        <v>436</v>
      </c>
      <c r="J184" t="n">
        <v>0.712262</v>
      </c>
      <c r="K184">
        <f>RANK(J184,$J$2:$J$601,1)</f>
        <v/>
      </c>
      <c r="L184">
        <f>IF(K184&lt;=60,1,0)</f>
        <v/>
      </c>
      <c r="M184">
        <f>IF(MOD(A184-7,10)=0,1,0)</f>
        <v/>
      </c>
      <c r="N184">
        <f>COUNTIFS($B$2:$B$601,B184,$J$2:$J$601,"&lt;"&amp;J184)+1</f>
        <v/>
      </c>
      <c r="O184">
        <f>ROUND(COUNTIF($B$2:$B$601,B184)/600*60,0)</f>
        <v/>
      </c>
      <c r="P184">
        <f>IF(N184&lt;=O184,1,0)</f>
        <v/>
      </c>
      <c r="Q184">
        <f>IF(OR(C184=4,C184=15,C184=27),1,0)</f>
        <v/>
      </c>
      <c r="R184">
        <f>IF(I184&lt;=60,1,0)</f>
        <v/>
      </c>
    </row>
    <row r="185">
      <c r="A185" t="n">
        <v>184</v>
      </c>
      <c r="B185" t="n">
        <v>1</v>
      </c>
      <c r="C185" t="n">
        <v>10</v>
      </c>
      <c r="D185" t="n">
        <v>2</v>
      </c>
      <c r="E185" t="n">
        <v>80</v>
      </c>
      <c r="F185" t="n">
        <v>1</v>
      </c>
      <c r="G185" t="n">
        <v>140</v>
      </c>
      <c r="H185" t="n">
        <v>1</v>
      </c>
      <c r="I185" t="n">
        <v>72</v>
      </c>
      <c r="J185" t="n">
        <v>0.570186</v>
      </c>
      <c r="K185">
        <f>RANK(J185,$J$2:$J$601,1)</f>
        <v/>
      </c>
      <c r="L185">
        <f>IF(K185&lt;=60,1,0)</f>
        <v/>
      </c>
      <c r="M185">
        <f>IF(MOD(A185-7,10)=0,1,0)</f>
        <v/>
      </c>
      <c r="N185">
        <f>COUNTIFS($B$2:$B$601,B185,$J$2:$J$601,"&lt;"&amp;J185)+1</f>
        <v/>
      </c>
      <c r="O185">
        <f>ROUND(COUNTIF($B$2:$B$601,B185)/600*60,0)</f>
        <v/>
      </c>
      <c r="P185">
        <f>IF(N185&lt;=O185,1,0)</f>
        <v/>
      </c>
      <c r="Q185">
        <f>IF(OR(C185=4,C185=15,C185=27),1,0)</f>
        <v/>
      </c>
      <c r="R185">
        <f>IF(I185&lt;=60,1,0)</f>
        <v/>
      </c>
    </row>
    <row r="186">
      <c r="A186" t="n">
        <v>185</v>
      </c>
      <c r="B186" t="n">
        <v>1</v>
      </c>
      <c r="C186" t="n">
        <v>10</v>
      </c>
      <c r="D186" t="n">
        <v>2</v>
      </c>
      <c r="E186" t="n">
        <v>45</v>
      </c>
      <c r="F186" t="n">
        <v>0</v>
      </c>
      <c r="G186" t="n">
        <v>126</v>
      </c>
      <c r="H186" t="n">
        <v>0</v>
      </c>
      <c r="I186" t="n">
        <v>560</v>
      </c>
      <c r="J186" t="n">
        <v>0.232521</v>
      </c>
      <c r="K186">
        <f>RANK(J186,$J$2:$J$601,1)</f>
        <v/>
      </c>
      <c r="L186">
        <f>IF(K186&lt;=60,1,0)</f>
        <v/>
      </c>
      <c r="M186">
        <f>IF(MOD(A186-7,10)=0,1,0)</f>
        <v/>
      </c>
      <c r="N186">
        <f>COUNTIFS($B$2:$B$601,B186,$J$2:$J$601,"&lt;"&amp;J186)+1</f>
        <v/>
      </c>
      <c r="O186">
        <f>ROUND(COUNTIF($B$2:$B$601,B186)/600*60,0)</f>
        <v/>
      </c>
      <c r="P186">
        <f>IF(N186&lt;=O186,1,0)</f>
        <v/>
      </c>
      <c r="Q186">
        <f>IF(OR(C186=4,C186=15,C186=27),1,0)</f>
        <v/>
      </c>
      <c r="R186">
        <f>IF(I186&lt;=60,1,0)</f>
        <v/>
      </c>
    </row>
    <row r="187">
      <c r="A187" t="n">
        <v>186</v>
      </c>
      <c r="B187" t="n">
        <v>1</v>
      </c>
      <c r="C187" t="n">
        <v>10</v>
      </c>
      <c r="D187" t="n">
        <v>1</v>
      </c>
      <c r="E187" t="n">
        <v>75</v>
      </c>
      <c r="F187" t="n">
        <v>0</v>
      </c>
      <c r="G187" t="n">
        <v>149</v>
      </c>
      <c r="H187" t="n">
        <v>1</v>
      </c>
      <c r="I187" t="n">
        <v>44</v>
      </c>
      <c r="J187" t="n">
        <v>0.921618</v>
      </c>
      <c r="K187">
        <f>RANK(J187,$J$2:$J$601,1)</f>
        <v/>
      </c>
      <c r="L187">
        <f>IF(K187&lt;=60,1,0)</f>
        <v/>
      </c>
      <c r="M187">
        <f>IF(MOD(A187-7,10)=0,1,0)</f>
        <v/>
      </c>
      <c r="N187">
        <f>COUNTIFS($B$2:$B$601,B187,$J$2:$J$601,"&lt;"&amp;J187)+1</f>
        <v/>
      </c>
      <c r="O187">
        <f>ROUND(COUNTIF($B$2:$B$601,B187)/600*60,0)</f>
        <v/>
      </c>
      <c r="P187">
        <f>IF(N187&lt;=O187,1,0)</f>
        <v/>
      </c>
      <c r="Q187">
        <f>IF(OR(C187=4,C187=15,C187=27),1,0)</f>
        <v/>
      </c>
      <c r="R187">
        <f>IF(I187&lt;=60,1,0)</f>
        <v/>
      </c>
    </row>
    <row r="188">
      <c r="A188" t="n">
        <v>187</v>
      </c>
      <c r="B188" t="n">
        <v>1</v>
      </c>
      <c r="C188" t="n">
        <v>10</v>
      </c>
      <c r="D188" t="n">
        <v>2</v>
      </c>
      <c r="E188" t="n">
        <v>32</v>
      </c>
      <c r="F188" t="n">
        <v>1</v>
      </c>
      <c r="G188" t="n">
        <v>111</v>
      </c>
      <c r="H188" t="n">
        <v>0</v>
      </c>
      <c r="I188" t="n">
        <v>322</v>
      </c>
      <c r="J188" t="n">
        <v>0.5245649999999999</v>
      </c>
      <c r="K188">
        <f>RANK(J188,$J$2:$J$601,1)</f>
        <v/>
      </c>
      <c r="L188">
        <f>IF(K188&lt;=60,1,0)</f>
        <v/>
      </c>
      <c r="M188">
        <f>IF(MOD(A188-7,10)=0,1,0)</f>
        <v/>
      </c>
      <c r="N188">
        <f>COUNTIFS($B$2:$B$601,B188,$J$2:$J$601,"&lt;"&amp;J188)+1</f>
        <v/>
      </c>
      <c r="O188">
        <f>ROUND(COUNTIF($B$2:$B$601,B188)/600*60,0)</f>
        <v/>
      </c>
      <c r="P188">
        <f>IF(N188&lt;=O188,1,0)</f>
        <v/>
      </c>
      <c r="Q188">
        <f>IF(OR(C188=4,C188=15,C188=27),1,0)</f>
        <v/>
      </c>
      <c r="R188">
        <f>IF(I188&lt;=60,1,0)</f>
        <v/>
      </c>
    </row>
    <row r="189">
      <c r="A189" t="n">
        <v>188</v>
      </c>
      <c r="B189" t="n">
        <v>1</v>
      </c>
      <c r="C189" t="n">
        <v>10</v>
      </c>
      <c r="D189" t="n">
        <v>2</v>
      </c>
      <c r="E189" t="n">
        <v>56</v>
      </c>
      <c r="F189" t="n">
        <v>0</v>
      </c>
      <c r="G189" t="n">
        <v>138</v>
      </c>
      <c r="H189" t="n">
        <v>0</v>
      </c>
      <c r="I189" t="n">
        <v>217</v>
      </c>
      <c r="J189" t="n">
        <v>0.15536</v>
      </c>
      <c r="K189">
        <f>RANK(J189,$J$2:$J$601,1)</f>
        <v/>
      </c>
      <c r="L189">
        <f>IF(K189&lt;=60,1,0)</f>
        <v/>
      </c>
      <c r="M189">
        <f>IF(MOD(A189-7,10)=0,1,0)</f>
        <v/>
      </c>
      <c r="N189">
        <f>COUNTIFS($B$2:$B$601,B189,$J$2:$J$601,"&lt;"&amp;J189)+1</f>
        <v/>
      </c>
      <c r="O189">
        <f>ROUND(COUNTIF($B$2:$B$601,B189)/600*60,0)</f>
        <v/>
      </c>
      <c r="P189">
        <f>IF(N189&lt;=O189,1,0)</f>
        <v/>
      </c>
      <c r="Q189">
        <f>IF(OR(C189=4,C189=15,C189=27),1,0)</f>
        <v/>
      </c>
      <c r="R189">
        <f>IF(I189&lt;=60,1,0)</f>
        <v/>
      </c>
    </row>
    <row r="190">
      <c r="A190" t="n">
        <v>189</v>
      </c>
      <c r="B190" t="n">
        <v>1</v>
      </c>
      <c r="C190" t="n">
        <v>10</v>
      </c>
      <c r="D190" t="n">
        <v>1</v>
      </c>
      <c r="E190" t="n">
        <v>75</v>
      </c>
      <c r="F190" t="n">
        <v>0</v>
      </c>
      <c r="G190" t="n">
        <v>132</v>
      </c>
      <c r="H190" t="n">
        <v>0</v>
      </c>
      <c r="I190" t="n">
        <v>346</v>
      </c>
      <c r="J190" t="n">
        <v>0.468161</v>
      </c>
      <c r="K190">
        <f>RANK(J190,$J$2:$J$601,1)</f>
        <v/>
      </c>
      <c r="L190">
        <f>IF(K190&lt;=60,1,0)</f>
        <v/>
      </c>
      <c r="M190">
        <f>IF(MOD(A190-7,10)=0,1,0)</f>
        <v/>
      </c>
      <c r="N190">
        <f>COUNTIFS($B$2:$B$601,B190,$J$2:$J$601,"&lt;"&amp;J190)+1</f>
        <v/>
      </c>
      <c r="O190">
        <f>ROUND(COUNTIF($B$2:$B$601,B190)/600*60,0)</f>
        <v/>
      </c>
      <c r="P190">
        <f>IF(N190&lt;=O190,1,0)</f>
        <v/>
      </c>
      <c r="Q190">
        <f>IF(OR(C190=4,C190=15,C190=27),1,0)</f>
        <v/>
      </c>
      <c r="R190">
        <f>IF(I190&lt;=60,1,0)</f>
        <v/>
      </c>
    </row>
    <row r="191">
      <c r="A191" t="n">
        <v>190</v>
      </c>
      <c r="B191" t="n">
        <v>1</v>
      </c>
      <c r="C191" t="n">
        <v>10</v>
      </c>
      <c r="D191" t="n">
        <v>1</v>
      </c>
      <c r="E191" t="n">
        <v>48</v>
      </c>
      <c r="F191" t="n">
        <v>0</v>
      </c>
      <c r="G191" t="n">
        <v>156</v>
      </c>
      <c r="H191" t="n">
        <v>1</v>
      </c>
      <c r="I191" t="n">
        <v>207</v>
      </c>
      <c r="J191" t="n">
        <v>0.881227</v>
      </c>
      <c r="K191">
        <f>RANK(J191,$J$2:$J$601,1)</f>
        <v/>
      </c>
      <c r="L191">
        <f>IF(K191&lt;=60,1,0)</f>
        <v/>
      </c>
      <c r="M191">
        <f>IF(MOD(A191-7,10)=0,1,0)</f>
        <v/>
      </c>
      <c r="N191">
        <f>COUNTIFS($B$2:$B$601,B191,$J$2:$J$601,"&lt;"&amp;J191)+1</f>
        <v/>
      </c>
      <c r="O191">
        <f>ROUND(COUNTIF($B$2:$B$601,B191)/600*60,0)</f>
        <v/>
      </c>
      <c r="P191">
        <f>IF(N191&lt;=O191,1,0)</f>
        <v/>
      </c>
      <c r="Q191">
        <f>IF(OR(C191=4,C191=15,C191=27),1,0)</f>
        <v/>
      </c>
      <c r="R191">
        <f>IF(I191&lt;=60,1,0)</f>
        <v/>
      </c>
    </row>
    <row r="192">
      <c r="A192" t="n">
        <v>191</v>
      </c>
      <c r="B192" t="n">
        <v>1</v>
      </c>
      <c r="C192" t="n">
        <v>10</v>
      </c>
      <c r="D192" t="n">
        <v>1</v>
      </c>
      <c r="E192" t="n">
        <v>65</v>
      </c>
      <c r="F192" t="n">
        <v>0</v>
      </c>
      <c r="G192" t="n">
        <v>118</v>
      </c>
      <c r="H192" t="n">
        <v>0</v>
      </c>
      <c r="I192" t="n">
        <v>211</v>
      </c>
      <c r="J192" t="n">
        <v>0.951648</v>
      </c>
      <c r="K192">
        <f>RANK(J192,$J$2:$J$601,1)</f>
        <v/>
      </c>
      <c r="L192">
        <f>IF(K192&lt;=60,1,0)</f>
        <v/>
      </c>
      <c r="M192">
        <f>IF(MOD(A192-7,10)=0,1,0)</f>
        <v/>
      </c>
      <c r="N192">
        <f>COUNTIFS($B$2:$B$601,B192,$J$2:$J$601,"&lt;"&amp;J192)+1</f>
        <v/>
      </c>
      <c r="O192">
        <f>ROUND(COUNTIF($B$2:$B$601,B192)/600*60,0)</f>
        <v/>
      </c>
      <c r="P192">
        <f>IF(N192&lt;=O192,1,0)</f>
        <v/>
      </c>
      <c r="Q192">
        <f>IF(OR(C192=4,C192=15,C192=27),1,0)</f>
        <v/>
      </c>
      <c r="R192">
        <f>IF(I192&lt;=60,1,0)</f>
        <v/>
      </c>
    </row>
    <row r="193">
      <c r="A193" t="n">
        <v>192</v>
      </c>
      <c r="B193" t="n">
        <v>1</v>
      </c>
      <c r="C193" t="n">
        <v>10</v>
      </c>
      <c r="D193" t="n">
        <v>1</v>
      </c>
      <c r="E193" t="n">
        <v>42</v>
      </c>
      <c r="F193" t="n">
        <v>0</v>
      </c>
      <c r="G193" t="n">
        <v>122</v>
      </c>
      <c r="H193" t="n">
        <v>0</v>
      </c>
      <c r="I193" t="n">
        <v>466</v>
      </c>
      <c r="J193" t="n">
        <v>0.051953</v>
      </c>
      <c r="K193">
        <f>RANK(J193,$J$2:$J$601,1)</f>
        <v/>
      </c>
      <c r="L193">
        <f>IF(K193&lt;=60,1,0)</f>
        <v/>
      </c>
      <c r="M193">
        <f>IF(MOD(A193-7,10)=0,1,0)</f>
        <v/>
      </c>
      <c r="N193">
        <f>COUNTIFS($B$2:$B$601,B193,$J$2:$J$601,"&lt;"&amp;J193)+1</f>
        <v/>
      </c>
      <c r="O193">
        <f>ROUND(COUNTIF($B$2:$B$601,B193)/600*60,0)</f>
        <v/>
      </c>
      <c r="P193">
        <f>IF(N193&lt;=O193,1,0)</f>
        <v/>
      </c>
      <c r="Q193">
        <f>IF(OR(C193=4,C193=15,C193=27),1,0)</f>
        <v/>
      </c>
      <c r="R193">
        <f>IF(I193&lt;=60,1,0)</f>
        <v/>
      </c>
    </row>
    <row r="194">
      <c r="A194" t="n">
        <v>193</v>
      </c>
      <c r="B194" t="n">
        <v>1</v>
      </c>
      <c r="C194" t="n">
        <v>10</v>
      </c>
      <c r="D194" t="n">
        <v>2</v>
      </c>
      <c r="E194" t="n">
        <v>43</v>
      </c>
      <c r="F194" t="n">
        <v>0</v>
      </c>
      <c r="G194" t="n">
        <v>110</v>
      </c>
      <c r="H194" t="n">
        <v>0</v>
      </c>
      <c r="I194" t="n">
        <v>518</v>
      </c>
      <c r="J194" t="n">
        <v>0.412933</v>
      </c>
      <c r="K194">
        <f>RANK(J194,$J$2:$J$601,1)</f>
        <v/>
      </c>
      <c r="L194">
        <f>IF(K194&lt;=60,1,0)</f>
        <v/>
      </c>
      <c r="M194">
        <f>IF(MOD(A194-7,10)=0,1,0)</f>
        <v/>
      </c>
      <c r="N194">
        <f>COUNTIFS($B$2:$B$601,B194,$J$2:$J$601,"&lt;"&amp;J194)+1</f>
        <v/>
      </c>
      <c r="O194">
        <f>ROUND(COUNTIF($B$2:$B$601,B194)/600*60,0)</f>
        <v/>
      </c>
      <c r="P194">
        <f>IF(N194&lt;=O194,1,0)</f>
        <v/>
      </c>
      <c r="Q194">
        <f>IF(OR(C194=4,C194=15,C194=27),1,0)</f>
        <v/>
      </c>
      <c r="R194">
        <f>IF(I194&lt;=60,1,0)</f>
        <v/>
      </c>
    </row>
    <row r="195">
      <c r="A195" t="n">
        <v>194</v>
      </c>
      <c r="B195" t="n">
        <v>1</v>
      </c>
      <c r="C195" t="n">
        <v>10</v>
      </c>
      <c r="D195" t="n">
        <v>1</v>
      </c>
      <c r="E195" t="n">
        <v>68</v>
      </c>
      <c r="F195" t="n">
        <v>0</v>
      </c>
      <c r="G195" t="n">
        <v>132</v>
      </c>
      <c r="H195" t="n">
        <v>0</v>
      </c>
      <c r="I195" t="n">
        <v>362</v>
      </c>
      <c r="J195" t="n">
        <v>0.407933</v>
      </c>
      <c r="K195">
        <f>RANK(J195,$J$2:$J$601,1)</f>
        <v/>
      </c>
      <c r="L195">
        <f>IF(K195&lt;=60,1,0)</f>
        <v/>
      </c>
      <c r="M195">
        <f>IF(MOD(A195-7,10)=0,1,0)</f>
        <v/>
      </c>
      <c r="N195">
        <f>COUNTIFS($B$2:$B$601,B195,$J$2:$J$601,"&lt;"&amp;J195)+1</f>
        <v/>
      </c>
      <c r="O195">
        <f>ROUND(COUNTIF($B$2:$B$601,B195)/600*60,0)</f>
        <v/>
      </c>
      <c r="P195">
        <f>IF(N195&lt;=O195,1,0)</f>
        <v/>
      </c>
      <c r="Q195">
        <f>IF(OR(C195=4,C195=15,C195=27),1,0)</f>
        <v/>
      </c>
      <c r="R195">
        <f>IF(I195&lt;=60,1,0)</f>
        <v/>
      </c>
    </row>
    <row r="196">
      <c r="A196" t="n">
        <v>195</v>
      </c>
      <c r="B196" t="n">
        <v>1</v>
      </c>
      <c r="C196" t="n">
        <v>10</v>
      </c>
      <c r="D196" t="n">
        <v>1</v>
      </c>
      <c r="E196" t="n">
        <v>61</v>
      </c>
      <c r="F196" t="n">
        <v>0</v>
      </c>
      <c r="G196" t="n">
        <v>142</v>
      </c>
      <c r="H196" t="n">
        <v>1</v>
      </c>
      <c r="I196" t="n">
        <v>150</v>
      </c>
      <c r="J196" t="n">
        <v>0.8066</v>
      </c>
      <c r="K196">
        <f>RANK(J196,$J$2:$J$601,1)</f>
        <v/>
      </c>
      <c r="L196">
        <f>IF(K196&lt;=60,1,0)</f>
        <v/>
      </c>
      <c r="M196">
        <f>IF(MOD(A196-7,10)=0,1,0)</f>
        <v/>
      </c>
      <c r="N196">
        <f>COUNTIFS($B$2:$B$601,B196,$J$2:$J$601,"&lt;"&amp;J196)+1</f>
        <v/>
      </c>
      <c r="O196">
        <f>ROUND(COUNTIF($B$2:$B$601,B196)/600*60,0)</f>
        <v/>
      </c>
      <c r="P196">
        <f>IF(N196&lt;=O196,1,0)</f>
        <v/>
      </c>
      <c r="Q196">
        <f>IF(OR(C196=4,C196=15,C196=27),1,0)</f>
        <v/>
      </c>
      <c r="R196">
        <f>IF(I196&lt;=60,1,0)</f>
        <v/>
      </c>
    </row>
    <row r="197">
      <c r="A197" t="n">
        <v>196</v>
      </c>
      <c r="B197" t="n">
        <v>1</v>
      </c>
      <c r="C197" t="n">
        <v>10</v>
      </c>
      <c r="D197" t="n">
        <v>1</v>
      </c>
      <c r="E197" t="n">
        <v>60</v>
      </c>
      <c r="F197" t="n">
        <v>0</v>
      </c>
      <c r="G197" t="n">
        <v>122</v>
      </c>
      <c r="H197" t="n">
        <v>0</v>
      </c>
      <c r="I197" t="n">
        <v>271</v>
      </c>
      <c r="J197" t="n">
        <v>0.334482</v>
      </c>
      <c r="K197">
        <f>RANK(J197,$J$2:$J$601,1)</f>
        <v/>
      </c>
      <c r="L197">
        <f>IF(K197&lt;=60,1,0)</f>
        <v/>
      </c>
      <c r="M197">
        <f>IF(MOD(A197-7,10)=0,1,0)</f>
        <v/>
      </c>
      <c r="N197">
        <f>COUNTIFS($B$2:$B$601,B197,$J$2:$J$601,"&lt;"&amp;J197)+1</f>
        <v/>
      </c>
      <c r="O197">
        <f>ROUND(COUNTIF($B$2:$B$601,B197)/600*60,0)</f>
        <v/>
      </c>
      <c r="P197">
        <f>IF(N197&lt;=O197,1,0)</f>
        <v/>
      </c>
      <c r="Q197">
        <f>IF(OR(C197=4,C197=15,C197=27),1,0)</f>
        <v/>
      </c>
      <c r="R197">
        <f>IF(I197&lt;=60,1,0)</f>
        <v/>
      </c>
    </row>
    <row r="198">
      <c r="A198" t="n">
        <v>197</v>
      </c>
      <c r="B198" t="n">
        <v>1</v>
      </c>
      <c r="C198" t="n">
        <v>10</v>
      </c>
      <c r="D198" t="n">
        <v>2</v>
      </c>
      <c r="E198" t="n">
        <v>51</v>
      </c>
      <c r="F198" t="n">
        <v>0</v>
      </c>
      <c r="G198" t="n">
        <v>125</v>
      </c>
      <c r="H198" t="n">
        <v>0</v>
      </c>
      <c r="I198" t="n">
        <v>294</v>
      </c>
      <c r="J198" t="n">
        <v>0.207476</v>
      </c>
      <c r="K198">
        <f>RANK(J198,$J$2:$J$601,1)</f>
        <v/>
      </c>
      <c r="L198">
        <f>IF(K198&lt;=60,1,0)</f>
        <v/>
      </c>
      <c r="M198">
        <f>IF(MOD(A198-7,10)=0,1,0)</f>
        <v/>
      </c>
      <c r="N198">
        <f>COUNTIFS($B$2:$B$601,B198,$J$2:$J$601,"&lt;"&amp;J198)+1</f>
        <v/>
      </c>
      <c r="O198">
        <f>ROUND(COUNTIF($B$2:$B$601,B198)/600*60,0)</f>
        <v/>
      </c>
      <c r="P198">
        <f>IF(N198&lt;=O198,1,0)</f>
        <v/>
      </c>
      <c r="Q198">
        <f>IF(OR(C198=4,C198=15,C198=27),1,0)</f>
        <v/>
      </c>
      <c r="R198">
        <f>IF(I198&lt;=60,1,0)</f>
        <v/>
      </c>
    </row>
    <row r="199">
      <c r="A199" t="n">
        <v>198</v>
      </c>
      <c r="B199" t="n">
        <v>1</v>
      </c>
      <c r="C199" t="n">
        <v>10</v>
      </c>
      <c r="D199" t="n">
        <v>1</v>
      </c>
      <c r="E199" t="n">
        <v>53</v>
      </c>
      <c r="F199" t="n">
        <v>0</v>
      </c>
      <c r="G199" t="n">
        <v>134</v>
      </c>
      <c r="H199" t="n">
        <v>0</v>
      </c>
      <c r="I199" t="n">
        <v>200</v>
      </c>
      <c r="J199" t="n">
        <v>0.295819</v>
      </c>
      <c r="K199">
        <f>RANK(J199,$J$2:$J$601,1)</f>
        <v/>
      </c>
      <c r="L199">
        <f>IF(K199&lt;=60,1,0)</f>
        <v/>
      </c>
      <c r="M199">
        <f>IF(MOD(A199-7,10)=0,1,0)</f>
        <v/>
      </c>
      <c r="N199">
        <f>COUNTIFS($B$2:$B$601,B199,$J$2:$J$601,"&lt;"&amp;J199)+1</f>
        <v/>
      </c>
      <c r="O199">
        <f>ROUND(COUNTIF($B$2:$B$601,B199)/600*60,0)</f>
        <v/>
      </c>
      <c r="P199">
        <f>IF(N199&lt;=O199,1,0)</f>
        <v/>
      </c>
      <c r="Q199">
        <f>IF(OR(C199=4,C199=15,C199=27),1,0)</f>
        <v/>
      </c>
      <c r="R199">
        <f>IF(I199&lt;=60,1,0)</f>
        <v/>
      </c>
    </row>
    <row r="200">
      <c r="A200" t="n">
        <v>199</v>
      </c>
      <c r="B200" t="n">
        <v>1</v>
      </c>
      <c r="C200" t="n">
        <v>10</v>
      </c>
      <c r="D200" t="n">
        <v>1</v>
      </c>
      <c r="E200" t="n">
        <v>76</v>
      </c>
      <c r="F200" t="n">
        <v>0</v>
      </c>
      <c r="G200" t="n">
        <v>121</v>
      </c>
      <c r="H200" t="n">
        <v>0</v>
      </c>
      <c r="I200" t="n">
        <v>101</v>
      </c>
      <c r="J200" t="n">
        <v>0.6279439999999999</v>
      </c>
      <c r="K200">
        <f>RANK(J200,$J$2:$J$601,1)</f>
        <v/>
      </c>
      <c r="L200">
        <f>IF(K200&lt;=60,1,0)</f>
        <v/>
      </c>
      <c r="M200">
        <f>IF(MOD(A200-7,10)=0,1,0)</f>
        <v/>
      </c>
      <c r="N200">
        <f>COUNTIFS($B$2:$B$601,B200,$J$2:$J$601,"&lt;"&amp;J200)+1</f>
        <v/>
      </c>
      <c r="O200">
        <f>ROUND(COUNTIF($B$2:$B$601,B200)/600*60,0)</f>
        <v/>
      </c>
      <c r="P200">
        <f>IF(N200&lt;=O200,1,0)</f>
        <v/>
      </c>
      <c r="Q200">
        <f>IF(OR(C200=4,C200=15,C200=27),1,0)</f>
        <v/>
      </c>
      <c r="R200">
        <f>IF(I200&lt;=60,1,0)</f>
        <v/>
      </c>
    </row>
    <row r="201">
      <c r="A201" t="n">
        <v>200</v>
      </c>
      <c r="B201" t="n">
        <v>1</v>
      </c>
      <c r="C201" t="n">
        <v>10</v>
      </c>
      <c r="D201" t="n">
        <v>2</v>
      </c>
      <c r="E201" t="n">
        <v>72</v>
      </c>
      <c r="F201" t="n">
        <v>1</v>
      </c>
      <c r="G201" t="n">
        <v>134</v>
      </c>
      <c r="H201" t="n">
        <v>0</v>
      </c>
      <c r="I201" t="n">
        <v>344</v>
      </c>
      <c r="J201" t="n">
        <v>0.6025160000000001</v>
      </c>
      <c r="K201">
        <f>RANK(J201,$J$2:$J$601,1)</f>
        <v/>
      </c>
      <c r="L201">
        <f>IF(K201&lt;=60,1,0)</f>
        <v/>
      </c>
      <c r="M201">
        <f>IF(MOD(A201-7,10)=0,1,0)</f>
        <v/>
      </c>
      <c r="N201">
        <f>COUNTIFS($B$2:$B$601,B201,$J$2:$J$601,"&lt;"&amp;J201)+1</f>
        <v/>
      </c>
      <c r="O201">
        <f>ROUND(COUNTIF($B$2:$B$601,B201)/600*60,0)</f>
        <v/>
      </c>
      <c r="P201">
        <f>IF(N201&lt;=O201,1,0)</f>
        <v/>
      </c>
      <c r="Q201">
        <f>IF(OR(C201=4,C201=15,C201=27),1,0)</f>
        <v/>
      </c>
      <c r="R201">
        <f>IF(I201&lt;=60,1,0)</f>
        <v/>
      </c>
    </row>
    <row r="202">
      <c r="A202" t="n">
        <v>201</v>
      </c>
      <c r="B202" t="n">
        <v>2</v>
      </c>
      <c r="C202" t="n">
        <v>11</v>
      </c>
      <c r="D202" t="n">
        <v>1</v>
      </c>
      <c r="E202" t="n">
        <v>35</v>
      </c>
      <c r="F202" t="n">
        <v>0</v>
      </c>
      <c r="G202" t="n">
        <v>124</v>
      </c>
      <c r="H202" t="n">
        <v>0</v>
      </c>
      <c r="I202" t="n">
        <v>588</v>
      </c>
      <c r="J202" t="n">
        <v>0.904645</v>
      </c>
      <c r="K202">
        <f>RANK(J202,$J$2:$J$601,1)</f>
        <v/>
      </c>
      <c r="L202">
        <f>IF(K202&lt;=60,1,0)</f>
        <v/>
      </c>
      <c r="M202">
        <f>IF(MOD(A202-7,10)=0,1,0)</f>
        <v/>
      </c>
      <c r="N202">
        <f>COUNTIFS($B$2:$B$601,B202,$J$2:$J$601,"&lt;"&amp;J202)+1</f>
        <v/>
      </c>
      <c r="O202">
        <f>ROUND(COUNTIF($B$2:$B$601,B202)/600*60,0)</f>
        <v/>
      </c>
      <c r="P202">
        <f>IF(N202&lt;=O202,1,0)</f>
        <v/>
      </c>
      <c r="Q202">
        <f>IF(OR(C202=4,C202=15,C202=27),1,0)</f>
        <v/>
      </c>
      <c r="R202">
        <f>IF(I202&lt;=60,1,0)</f>
        <v/>
      </c>
    </row>
    <row r="203">
      <c r="A203" t="n">
        <v>202</v>
      </c>
      <c r="B203" t="n">
        <v>2</v>
      </c>
      <c r="C203" t="n">
        <v>11</v>
      </c>
      <c r="D203" t="n">
        <v>1</v>
      </c>
      <c r="E203" t="n">
        <v>73</v>
      </c>
      <c r="F203" t="n">
        <v>0</v>
      </c>
      <c r="G203" t="n">
        <v>156</v>
      </c>
      <c r="H203" t="n">
        <v>1</v>
      </c>
      <c r="I203" t="n">
        <v>36</v>
      </c>
      <c r="J203" t="n">
        <v>0.193487</v>
      </c>
      <c r="K203">
        <f>RANK(J203,$J$2:$J$601,1)</f>
        <v/>
      </c>
      <c r="L203">
        <f>IF(K203&lt;=60,1,0)</f>
        <v/>
      </c>
      <c r="M203">
        <f>IF(MOD(A203-7,10)=0,1,0)</f>
        <v/>
      </c>
      <c r="N203">
        <f>COUNTIFS($B$2:$B$601,B203,$J$2:$J$601,"&lt;"&amp;J203)+1</f>
        <v/>
      </c>
      <c r="O203">
        <f>ROUND(COUNTIF($B$2:$B$601,B203)/600*60,0)</f>
        <v/>
      </c>
      <c r="P203">
        <f>IF(N203&lt;=O203,1,0)</f>
        <v/>
      </c>
      <c r="Q203">
        <f>IF(OR(C203=4,C203=15,C203=27),1,0)</f>
        <v/>
      </c>
      <c r="R203">
        <f>IF(I203&lt;=60,1,0)</f>
        <v/>
      </c>
    </row>
    <row r="204">
      <c r="A204" t="n">
        <v>203</v>
      </c>
      <c r="B204" t="n">
        <v>2</v>
      </c>
      <c r="C204" t="n">
        <v>11</v>
      </c>
      <c r="D204" t="n">
        <v>2</v>
      </c>
      <c r="E204" t="n">
        <v>66</v>
      </c>
      <c r="F204" t="n">
        <v>1</v>
      </c>
      <c r="G204" t="n">
        <v>138</v>
      </c>
      <c r="H204" t="n">
        <v>0</v>
      </c>
      <c r="I204" t="n">
        <v>368</v>
      </c>
      <c r="J204" t="n">
        <v>0.600595</v>
      </c>
      <c r="K204">
        <f>RANK(J204,$J$2:$J$601,1)</f>
        <v/>
      </c>
      <c r="L204">
        <f>IF(K204&lt;=60,1,0)</f>
        <v/>
      </c>
      <c r="M204">
        <f>IF(MOD(A204-7,10)=0,1,0)</f>
        <v/>
      </c>
      <c r="N204">
        <f>COUNTIFS($B$2:$B$601,B204,$J$2:$J$601,"&lt;"&amp;J204)+1</f>
        <v/>
      </c>
      <c r="O204">
        <f>ROUND(COUNTIF($B$2:$B$601,B204)/600*60,0)</f>
        <v/>
      </c>
      <c r="P204">
        <f>IF(N204&lt;=O204,1,0)</f>
        <v/>
      </c>
      <c r="Q204">
        <f>IF(OR(C204=4,C204=15,C204=27),1,0)</f>
        <v/>
      </c>
      <c r="R204">
        <f>IF(I204&lt;=60,1,0)</f>
        <v/>
      </c>
    </row>
    <row r="205">
      <c r="A205" t="n">
        <v>204</v>
      </c>
      <c r="B205" t="n">
        <v>2</v>
      </c>
      <c r="C205" t="n">
        <v>11</v>
      </c>
      <c r="D205" t="n">
        <v>1</v>
      </c>
      <c r="E205" t="n">
        <v>39</v>
      </c>
      <c r="F205" t="n">
        <v>0</v>
      </c>
      <c r="G205" t="n">
        <v>108</v>
      </c>
      <c r="H205" t="n">
        <v>0</v>
      </c>
      <c r="I205" t="n">
        <v>335</v>
      </c>
      <c r="J205" t="n">
        <v>0.704895</v>
      </c>
      <c r="K205">
        <f>RANK(J205,$J$2:$J$601,1)</f>
        <v/>
      </c>
      <c r="L205">
        <f>IF(K205&lt;=60,1,0)</f>
        <v/>
      </c>
      <c r="M205">
        <f>IF(MOD(A205-7,10)=0,1,0)</f>
        <v/>
      </c>
      <c r="N205">
        <f>COUNTIFS($B$2:$B$601,B205,$J$2:$J$601,"&lt;"&amp;J205)+1</f>
        <v/>
      </c>
      <c r="O205">
        <f>ROUND(COUNTIF($B$2:$B$601,B205)/600*60,0)</f>
        <v/>
      </c>
      <c r="P205">
        <f>IF(N205&lt;=O205,1,0)</f>
        <v/>
      </c>
      <c r="Q205">
        <f>IF(OR(C205=4,C205=15,C205=27),1,0)</f>
        <v/>
      </c>
      <c r="R205">
        <f>IF(I205&lt;=60,1,0)</f>
        <v/>
      </c>
    </row>
    <row r="206">
      <c r="A206" t="n">
        <v>205</v>
      </c>
      <c r="B206" t="n">
        <v>2</v>
      </c>
      <c r="C206" t="n">
        <v>11</v>
      </c>
      <c r="D206" t="n">
        <v>1</v>
      </c>
      <c r="E206" t="n">
        <v>42</v>
      </c>
      <c r="F206" t="n">
        <v>0</v>
      </c>
      <c r="G206" t="n">
        <v>122</v>
      </c>
      <c r="H206" t="n">
        <v>0</v>
      </c>
      <c r="I206" t="n">
        <v>454</v>
      </c>
      <c r="J206" t="n">
        <v>0.990179</v>
      </c>
      <c r="K206">
        <f>RANK(J206,$J$2:$J$601,1)</f>
        <v/>
      </c>
      <c r="L206">
        <f>IF(K206&lt;=60,1,0)</f>
        <v/>
      </c>
      <c r="M206">
        <f>IF(MOD(A206-7,10)=0,1,0)</f>
        <v/>
      </c>
      <c r="N206">
        <f>COUNTIFS($B$2:$B$601,B206,$J$2:$J$601,"&lt;"&amp;J206)+1</f>
        <v/>
      </c>
      <c r="O206">
        <f>ROUND(COUNTIF($B$2:$B$601,B206)/600*60,0)</f>
        <v/>
      </c>
      <c r="P206">
        <f>IF(N206&lt;=O206,1,0)</f>
        <v/>
      </c>
      <c r="Q206">
        <f>IF(OR(C206=4,C206=15,C206=27),1,0)</f>
        <v/>
      </c>
      <c r="R206">
        <f>IF(I206&lt;=60,1,0)</f>
        <v/>
      </c>
    </row>
    <row r="207">
      <c r="A207" t="n">
        <v>206</v>
      </c>
      <c r="B207" t="n">
        <v>2</v>
      </c>
      <c r="C207" t="n">
        <v>11</v>
      </c>
      <c r="D207" t="n">
        <v>2</v>
      </c>
      <c r="E207" t="n">
        <v>52</v>
      </c>
      <c r="F207" t="n">
        <v>0</v>
      </c>
      <c r="G207" t="n">
        <v>126</v>
      </c>
      <c r="H207" t="n">
        <v>0</v>
      </c>
      <c r="I207" t="n">
        <v>450</v>
      </c>
      <c r="J207" t="n">
        <v>0.476692</v>
      </c>
      <c r="K207">
        <f>RANK(J207,$J$2:$J$601,1)</f>
        <v/>
      </c>
      <c r="L207">
        <f>IF(K207&lt;=60,1,0)</f>
        <v/>
      </c>
      <c r="M207">
        <f>IF(MOD(A207-7,10)=0,1,0)</f>
        <v/>
      </c>
      <c r="N207">
        <f>COUNTIFS($B$2:$B$601,B207,$J$2:$J$601,"&lt;"&amp;J207)+1</f>
        <v/>
      </c>
      <c r="O207">
        <f>ROUND(COUNTIF($B$2:$B$601,B207)/600*60,0)</f>
        <v/>
      </c>
      <c r="P207">
        <f>IF(N207&lt;=O207,1,0)</f>
        <v/>
      </c>
      <c r="Q207">
        <f>IF(OR(C207=4,C207=15,C207=27),1,0)</f>
        <v/>
      </c>
      <c r="R207">
        <f>IF(I207&lt;=60,1,0)</f>
        <v/>
      </c>
    </row>
    <row r="208">
      <c r="A208" t="n">
        <v>207</v>
      </c>
      <c r="B208" t="n">
        <v>2</v>
      </c>
      <c r="C208" t="n">
        <v>11</v>
      </c>
      <c r="D208" t="n">
        <v>1</v>
      </c>
      <c r="E208" t="n">
        <v>53</v>
      </c>
      <c r="F208" t="n">
        <v>0</v>
      </c>
      <c r="G208" t="n">
        <v>98</v>
      </c>
      <c r="H208" t="n">
        <v>0</v>
      </c>
      <c r="I208" t="n">
        <v>253</v>
      </c>
      <c r="J208" t="n">
        <v>0.113844</v>
      </c>
      <c r="K208">
        <f>RANK(J208,$J$2:$J$601,1)</f>
        <v/>
      </c>
      <c r="L208">
        <f>IF(K208&lt;=60,1,0)</f>
        <v/>
      </c>
      <c r="M208">
        <f>IF(MOD(A208-7,10)=0,1,0)</f>
        <v/>
      </c>
      <c r="N208">
        <f>COUNTIFS($B$2:$B$601,B208,$J$2:$J$601,"&lt;"&amp;J208)+1</f>
        <v/>
      </c>
      <c r="O208">
        <f>ROUND(COUNTIF($B$2:$B$601,B208)/600*60,0)</f>
        <v/>
      </c>
      <c r="P208">
        <f>IF(N208&lt;=O208,1,0)</f>
        <v/>
      </c>
      <c r="Q208">
        <f>IF(OR(C208=4,C208=15,C208=27),1,0)</f>
        <v/>
      </c>
      <c r="R208">
        <f>IF(I208&lt;=60,1,0)</f>
        <v/>
      </c>
    </row>
    <row r="209">
      <c r="A209" t="n">
        <v>208</v>
      </c>
      <c r="B209" t="n">
        <v>2</v>
      </c>
      <c r="C209" t="n">
        <v>11</v>
      </c>
      <c r="D209" t="n">
        <v>2</v>
      </c>
      <c r="E209" t="n">
        <v>40</v>
      </c>
      <c r="F209" t="n">
        <v>0</v>
      </c>
      <c r="G209" t="n">
        <v>130</v>
      </c>
      <c r="H209" t="n">
        <v>0</v>
      </c>
      <c r="I209" t="n">
        <v>462</v>
      </c>
      <c r="J209" t="n">
        <v>0.56468</v>
      </c>
      <c r="K209">
        <f>RANK(J209,$J$2:$J$601,1)</f>
        <v/>
      </c>
      <c r="L209">
        <f>IF(K209&lt;=60,1,0)</f>
        <v/>
      </c>
      <c r="M209">
        <f>IF(MOD(A209-7,10)=0,1,0)</f>
        <v/>
      </c>
      <c r="N209">
        <f>COUNTIFS($B$2:$B$601,B209,$J$2:$J$601,"&lt;"&amp;J209)+1</f>
        <v/>
      </c>
      <c r="O209">
        <f>ROUND(COUNTIF($B$2:$B$601,B209)/600*60,0)</f>
        <v/>
      </c>
      <c r="P209">
        <f>IF(N209&lt;=O209,1,0)</f>
        <v/>
      </c>
      <c r="Q209">
        <f>IF(OR(C209=4,C209=15,C209=27),1,0)</f>
        <v/>
      </c>
      <c r="R209">
        <f>IF(I209&lt;=60,1,0)</f>
        <v/>
      </c>
    </row>
    <row r="210">
      <c r="A210" t="n">
        <v>209</v>
      </c>
      <c r="B210" t="n">
        <v>2</v>
      </c>
      <c r="C210" t="n">
        <v>11</v>
      </c>
      <c r="D210" t="n">
        <v>2</v>
      </c>
      <c r="E210" t="n">
        <v>70</v>
      </c>
      <c r="F210" t="n">
        <v>0</v>
      </c>
      <c r="G210" t="n">
        <v>138</v>
      </c>
      <c r="H210" t="n">
        <v>0</v>
      </c>
      <c r="I210" t="n">
        <v>433</v>
      </c>
      <c r="J210" t="n">
        <v>0.8625119999999999</v>
      </c>
      <c r="K210">
        <f>RANK(J210,$J$2:$J$601,1)</f>
        <v/>
      </c>
      <c r="L210">
        <f>IF(K210&lt;=60,1,0)</f>
        <v/>
      </c>
      <c r="M210">
        <f>IF(MOD(A210-7,10)=0,1,0)</f>
        <v/>
      </c>
      <c r="N210">
        <f>COUNTIFS($B$2:$B$601,B210,$J$2:$J$601,"&lt;"&amp;J210)+1</f>
        <v/>
      </c>
      <c r="O210">
        <f>ROUND(COUNTIF($B$2:$B$601,B210)/600*60,0)</f>
        <v/>
      </c>
      <c r="P210">
        <f>IF(N210&lt;=O210,1,0)</f>
        <v/>
      </c>
      <c r="Q210">
        <f>IF(OR(C210=4,C210=15,C210=27),1,0)</f>
        <v/>
      </c>
      <c r="R210">
        <f>IF(I210&lt;=60,1,0)</f>
        <v/>
      </c>
    </row>
    <row r="211">
      <c r="A211" t="n">
        <v>210</v>
      </c>
      <c r="B211" t="n">
        <v>2</v>
      </c>
      <c r="C211" t="n">
        <v>11</v>
      </c>
      <c r="D211" t="n">
        <v>2</v>
      </c>
      <c r="E211" t="n">
        <v>33</v>
      </c>
      <c r="F211" t="n">
        <v>0</v>
      </c>
      <c r="G211" t="n">
        <v>132</v>
      </c>
      <c r="H211" t="n">
        <v>0</v>
      </c>
      <c r="I211" t="n">
        <v>289</v>
      </c>
      <c r="J211" t="n">
        <v>0.580071</v>
      </c>
      <c r="K211">
        <f>RANK(J211,$J$2:$J$601,1)</f>
        <v/>
      </c>
      <c r="L211">
        <f>IF(K211&lt;=60,1,0)</f>
        <v/>
      </c>
      <c r="M211">
        <f>IF(MOD(A211-7,10)=0,1,0)</f>
        <v/>
      </c>
      <c r="N211">
        <f>COUNTIFS($B$2:$B$601,B211,$J$2:$J$601,"&lt;"&amp;J211)+1</f>
        <v/>
      </c>
      <c r="O211">
        <f>ROUND(COUNTIF($B$2:$B$601,B211)/600*60,0)</f>
        <v/>
      </c>
      <c r="P211">
        <f>IF(N211&lt;=O211,1,0)</f>
        <v/>
      </c>
      <c r="Q211">
        <f>IF(OR(C211=4,C211=15,C211=27),1,0)</f>
        <v/>
      </c>
      <c r="R211">
        <f>IF(I211&lt;=60,1,0)</f>
        <v/>
      </c>
    </row>
    <row r="212">
      <c r="A212" t="n">
        <v>211</v>
      </c>
      <c r="B212" t="n">
        <v>2</v>
      </c>
      <c r="C212" t="n">
        <v>11</v>
      </c>
      <c r="D212" t="n">
        <v>1</v>
      </c>
      <c r="E212" t="n">
        <v>54</v>
      </c>
      <c r="F212" t="n">
        <v>0</v>
      </c>
      <c r="G212" t="n">
        <v>137</v>
      </c>
      <c r="H212" t="n">
        <v>0</v>
      </c>
      <c r="I212" t="n">
        <v>206</v>
      </c>
      <c r="J212" t="n">
        <v>0.432882</v>
      </c>
      <c r="K212">
        <f>RANK(J212,$J$2:$J$601,1)</f>
        <v/>
      </c>
      <c r="L212">
        <f>IF(K212&lt;=60,1,0)</f>
        <v/>
      </c>
      <c r="M212">
        <f>IF(MOD(A212-7,10)=0,1,0)</f>
        <v/>
      </c>
      <c r="N212">
        <f>COUNTIFS($B$2:$B$601,B212,$J$2:$J$601,"&lt;"&amp;J212)+1</f>
        <v/>
      </c>
      <c r="O212">
        <f>ROUND(COUNTIF($B$2:$B$601,B212)/600*60,0)</f>
        <v/>
      </c>
      <c r="P212">
        <f>IF(N212&lt;=O212,1,0)</f>
        <v/>
      </c>
      <c r="Q212">
        <f>IF(OR(C212=4,C212=15,C212=27),1,0)</f>
        <v/>
      </c>
      <c r="R212">
        <f>IF(I212&lt;=60,1,0)</f>
        <v/>
      </c>
    </row>
    <row r="213">
      <c r="A213" t="n">
        <v>212</v>
      </c>
      <c r="B213" t="n">
        <v>2</v>
      </c>
      <c r="C213" t="n">
        <v>11</v>
      </c>
      <c r="D213" t="n">
        <v>2</v>
      </c>
      <c r="E213" t="n">
        <v>40</v>
      </c>
      <c r="F213" t="n">
        <v>0</v>
      </c>
      <c r="G213" t="n">
        <v>155</v>
      </c>
      <c r="H213" t="n">
        <v>1</v>
      </c>
      <c r="I213" t="n">
        <v>165</v>
      </c>
      <c r="J213" t="n">
        <v>0.9562929999999999</v>
      </c>
      <c r="K213">
        <f>RANK(J213,$J$2:$J$601,1)</f>
        <v/>
      </c>
      <c r="L213">
        <f>IF(K213&lt;=60,1,0)</f>
        <v/>
      </c>
      <c r="M213">
        <f>IF(MOD(A213-7,10)=0,1,0)</f>
        <v/>
      </c>
      <c r="N213">
        <f>COUNTIFS($B$2:$B$601,B213,$J$2:$J$601,"&lt;"&amp;J213)+1</f>
        <v/>
      </c>
      <c r="O213">
        <f>ROUND(COUNTIF($B$2:$B$601,B213)/600*60,0)</f>
        <v/>
      </c>
      <c r="P213">
        <f>IF(N213&lt;=O213,1,0)</f>
        <v/>
      </c>
      <c r="Q213">
        <f>IF(OR(C213=4,C213=15,C213=27),1,0)</f>
        <v/>
      </c>
      <c r="R213">
        <f>IF(I213&lt;=60,1,0)</f>
        <v/>
      </c>
    </row>
    <row r="214">
      <c r="A214" t="n">
        <v>213</v>
      </c>
      <c r="B214" t="n">
        <v>2</v>
      </c>
      <c r="C214" t="n">
        <v>11</v>
      </c>
      <c r="D214" t="n">
        <v>2</v>
      </c>
      <c r="E214" t="n">
        <v>66</v>
      </c>
      <c r="F214" t="n">
        <v>0</v>
      </c>
      <c r="G214" t="n">
        <v>151</v>
      </c>
      <c r="H214" t="n">
        <v>1</v>
      </c>
      <c r="I214" t="n">
        <v>143</v>
      </c>
      <c r="J214" t="n">
        <v>0.894824</v>
      </c>
      <c r="K214">
        <f>RANK(J214,$J$2:$J$601,1)</f>
        <v/>
      </c>
      <c r="L214">
        <f>IF(K214&lt;=60,1,0)</f>
        <v/>
      </c>
      <c r="M214">
        <f>IF(MOD(A214-7,10)=0,1,0)</f>
        <v/>
      </c>
      <c r="N214">
        <f>COUNTIFS($B$2:$B$601,B214,$J$2:$J$601,"&lt;"&amp;J214)+1</f>
        <v/>
      </c>
      <c r="O214">
        <f>ROUND(COUNTIF($B$2:$B$601,B214)/600*60,0)</f>
        <v/>
      </c>
      <c r="P214">
        <f>IF(N214&lt;=O214,1,0)</f>
        <v/>
      </c>
      <c r="Q214">
        <f>IF(OR(C214=4,C214=15,C214=27),1,0)</f>
        <v/>
      </c>
      <c r="R214">
        <f>IF(I214&lt;=60,1,0)</f>
        <v/>
      </c>
    </row>
    <row r="215">
      <c r="A215" t="n">
        <v>214</v>
      </c>
      <c r="B215" t="n">
        <v>2</v>
      </c>
      <c r="C215" t="n">
        <v>11</v>
      </c>
      <c r="D215" t="n">
        <v>2</v>
      </c>
      <c r="E215" t="n">
        <v>42</v>
      </c>
      <c r="F215" t="n">
        <v>0</v>
      </c>
      <c r="G215" t="n">
        <v>120</v>
      </c>
      <c r="H215" t="n">
        <v>0</v>
      </c>
      <c r="I215" t="n">
        <v>441</v>
      </c>
      <c r="J215" t="n">
        <v>0.184237</v>
      </c>
      <c r="K215">
        <f>RANK(J215,$J$2:$J$601,1)</f>
        <v/>
      </c>
      <c r="L215">
        <f>IF(K215&lt;=60,1,0)</f>
        <v/>
      </c>
      <c r="M215">
        <f>IF(MOD(A215-7,10)=0,1,0)</f>
        <v/>
      </c>
      <c r="N215">
        <f>COUNTIFS($B$2:$B$601,B215,$J$2:$J$601,"&lt;"&amp;J215)+1</f>
        <v/>
      </c>
      <c r="O215">
        <f>ROUND(COUNTIF($B$2:$B$601,B215)/600*60,0)</f>
        <v/>
      </c>
      <c r="P215">
        <f>IF(N215&lt;=O215,1,0)</f>
        <v/>
      </c>
      <c r="Q215">
        <f>IF(OR(C215=4,C215=15,C215=27),1,0)</f>
        <v/>
      </c>
      <c r="R215">
        <f>IF(I215&lt;=60,1,0)</f>
        <v/>
      </c>
    </row>
    <row r="216">
      <c r="A216" t="n">
        <v>215</v>
      </c>
      <c r="B216" t="n">
        <v>2</v>
      </c>
      <c r="C216" t="n">
        <v>11</v>
      </c>
      <c r="D216" t="n">
        <v>1</v>
      </c>
      <c r="E216" t="n">
        <v>73</v>
      </c>
      <c r="F216" t="n">
        <v>0</v>
      </c>
      <c r="G216" t="n">
        <v>127</v>
      </c>
      <c r="H216" t="n">
        <v>0</v>
      </c>
      <c r="I216" t="n">
        <v>356</v>
      </c>
      <c r="J216" t="n">
        <v>0.198035</v>
      </c>
      <c r="K216">
        <f>RANK(J216,$J$2:$J$601,1)</f>
        <v/>
      </c>
      <c r="L216">
        <f>IF(K216&lt;=60,1,0)</f>
        <v/>
      </c>
      <c r="M216">
        <f>IF(MOD(A216-7,10)=0,1,0)</f>
        <v/>
      </c>
      <c r="N216">
        <f>COUNTIFS($B$2:$B$601,B216,$J$2:$J$601,"&lt;"&amp;J216)+1</f>
        <v/>
      </c>
      <c r="O216">
        <f>ROUND(COUNTIF($B$2:$B$601,B216)/600*60,0)</f>
        <v/>
      </c>
      <c r="P216">
        <f>IF(N216&lt;=O216,1,0)</f>
        <v/>
      </c>
      <c r="Q216">
        <f>IF(OR(C216=4,C216=15,C216=27),1,0)</f>
        <v/>
      </c>
      <c r="R216">
        <f>IF(I216&lt;=60,1,0)</f>
        <v/>
      </c>
    </row>
    <row r="217">
      <c r="A217" t="n">
        <v>216</v>
      </c>
      <c r="B217" t="n">
        <v>2</v>
      </c>
      <c r="C217" t="n">
        <v>11</v>
      </c>
      <c r="D217" t="n">
        <v>1</v>
      </c>
      <c r="E217" t="n">
        <v>49</v>
      </c>
      <c r="F217" t="n">
        <v>0</v>
      </c>
      <c r="G217" t="n">
        <v>136</v>
      </c>
      <c r="H217" t="n">
        <v>0</v>
      </c>
      <c r="I217" t="n">
        <v>237</v>
      </c>
      <c r="J217" t="n">
        <v>0.034272</v>
      </c>
      <c r="K217">
        <f>RANK(J217,$J$2:$J$601,1)</f>
        <v/>
      </c>
      <c r="L217">
        <f>IF(K217&lt;=60,1,0)</f>
        <v/>
      </c>
      <c r="M217">
        <f>IF(MOD(A217-7,10)=0,1,0)</f>
        <v/>
      </c>
      <c r="N217">
        <f>COUNTIFS($B$2:$B$601,B217,$J$2:$J$601,"&lt;"&amp;J217)+1</f>
        <v/>
      </c>
      <c r="O217">
        <f>ROUND(COUNTIF($B$2:$B$601,B217)/600*60,0)</f>
        <v/>
      </c>
      <c r="P217">
        <f>IF(N217&lt;=O217,1,0)</f>
        <v/>
      </c>
      <c r="Q217">
        <f>IF(OR(C217=4,C217=15,C217=27),1,0)</f>
        <v/>
      </c>
      <c r="R217">
        <f>IF(I217&lt;=60,1,0)</f>
        <v/>
      </c>
    </row>
    <row r="218">
      <c r="A218" t="n">
        <v>217</v>
      </c>
      <c r="B218" t="n">
        <v>2</v>
      </c>
      <c r="C218" t="n">
        <v>11</v>
      </c>
      <c r="D218" t="n">
        <v>1</v>
      </c>
      <c r="E218" t="n">
        <v>42</v>
      </c>
      <c r="F218" t="n">
        <v>0</v>
      </c>
      <c r="G218" t="n">
        <v>109</v>
      </c>
      <c r="H218" t="n">
        <v>0</v>
      </c>
      <c r="I218" t="n">
        <v>463</v>
      </c>
      <c r="J218" t="n">
        <v>0.359558</v>
      </c>
      <c r="K218">
        <f>RANK(J218,$J$2:$J$601,1)</f>
        <v/>
      </c>
      <c r="L218">
        <f>IF(K218&lt;=60,1,0)</f>
        <v/>
      </c>
      <c r="M218">
        <f>IF(MOD(A218-7,10)=0,1,0)</f>
        <v/>
      </c>
      <c r="N218">
        <f>COUNTIFS($B$2:$B$601,B218,$J$2:$J$601,"&lt;"&amp;J218)+1</f>
        <v/>
      </c>
      <c r="O218">
        <f>ROUND(COUNTIF($B$2:$B$601,B218)/600*60,0)</f>
        <v/>
      </c>
      <c r="P218">
        <f>IF(N218&lt;=O218,1,0)</f>
        <v/>
      </c>
      <c r="Q218">
        <f>IF(OR(C218=4,C218=15,C218=27),1,0)</f>
        <v/>
      </c>
      <c r="R218">
        <f>IF(I218&lt;=60,1,0)</f>
        <v/>
      </c>
    </row>
    <row r="219">
      <c r="A219" t="n">
        <v>218</v>
      </c>
      <c r="B219" t="n">
        <v>2</v>
      </c>
      <c r="C219" t="n">
        <v>11</v>
      </c>
      <c r="D219" t="n">
        <v>1</v>
      </c>
      <c r="E219" t="n">
        <v>37</v>
      </c>
      <c r="F219" t="n">
        <v>0</v>
      </c>
      <c r="G219" t="n">
        <v>116</v>
      </c>
      <c r="H219" t="n">
        <v>0</v>
      </c>
      <c r="I219" t="n">
        <v>526</v>
      </c>
      <c r="J219" t="n">
        <v>0.137921</v>
      </c>
      <c r="K219">
        <f>RANK(J219,$J$2:$J$601,1)</f>
        <v/>
      </c>
      <c r="L219">
        <f>IF(K219&lt;=60,1,0)</f>
        <v/>
      </c>
      <c r="M219">
        <f>IF(MOD(A219-7,10)=0,1,0)</f>
        <v/>
      </c>
      <c r="N219">
        <f>COUNTIFS($B$2:$B$601,B219,$J$2:$J$601,"&lt;"&amp;J219)+1</f>
        <v/>
      </c>
      <c r="O219">
        <f>ROUND(COUNTIF($B$2:$B$601,B219)/600*60,0)</f>
        <v/>
      </c>
      <c r="P219">
        <f>IF(N219&lt;=O219,1,0)</f>
        <v/>
      </c>
      <c r="Q219">
        <f>IF(OR(C219=4,C219=15,C219=27),1,0)</f>
        <v/>
      </c>
      <c r="R219">
        <f>IF(I219&lt;=60,1,0)</f>
        <v/>
      </c>
    </row>
    <row r="220">
      <c r="A220" t="n">
        <v>219</v>
      </c>
      <c r="B220" t="n">
        <v>2</v>
      </c>
      <c r="C220" t="n">
        <v>11</v>
      </c>
      <c r="D220" t="n">
        <v>2</v>
      </c>
      <c r="E220" t="n">
        <v>52</v>
      </c>
      <c r="F220" t="n">
        <v>0</v>
      </c>
      <c r="G220" t="n">
        <v>122</v>
      </c>
      <c r="H220" t="n">
        <v>0</v>
      </c>
      <c r="I220" t="n">
        <v>355</v>
      </c>
      <c r="J220" t="n">
        <v>0.5686600000000001</v>
      </c>
      <c r="K220">
        <f>RANK(J220,$J$2:$J$601,1)</f>
        <v/>
      </c>
      <c r="L220">
        <f>IF(K220&lt;=60,1,0)</f>
        <v/>
      </c>
      <c r="M220">
        <f>IF(MOD(A220-7,10)=0,1,0)</f>
        <v/>
      </c>
      <c r="N220">
        <f>COUNTIFS($B$2:$B$601,B220,$J$2:$J$601,"&lt;"&amp;J220)+1</f>
        <v/>
      </c>
      <c r="O220">
        <f>ROUND(COUNTIF($B$2:$B$601,B220)/600*60,0)</f>
        <v/>
      </c>
      <c r="P220">
        <f>IF(N220&lt;=O220,1,0)</f>
        <v/>
      </c>
      <c r="Q220">
        <f>IF(OR(C220=4,C220=15,C220=27),1,0)</f>
        <v/>
      </c>
      <c r="R220">
        <f>IF(I220&lt;=60,1,0)</f>
        <v/>
      </c>
    </row>
    <row r="221">
      <c r="A221" t="n">
        <v>220</v>
      </c>
      <c r="B221" t="n">
        <v>2</v>
      </c>
      <c r="C221" t="n">
        <v>11</v>
      </c>
      <c r="D221" t="n">
        <v>2</v>
      </c>
      <c r="E221" t="n">
        <v>38</v>
      </c>
      <c r="F221" t="n">
        <v>1</v>
      </c>
      <c r="G221" t="n">
        <v>104</v>
      </c>
      <c r="H221" t="n">
        <v>0</v>
      </c>
      <c r="I221" t="n">
        <v>540</v>
      </c>
      <c r="J221" t="n">
        <v>0.214118</v>
      </c>
      <c r="K221">
        <f>RANK(J221,$J$2:$J$601,1)</f>
        <v/>
      </c>
      <c r="L221">
        <f>IF(K221&lt;=60,1,0)</f>
        <v/>
      </c>
      <c r="M221">
        <f>IF(MOD(A221-7,10)=0,1,0)</f>
        <v/>
      </c>
      <c r="N221">
        <f>COUNTIFS($B$2:$B$601,B221,$J$2:$J$601,"&lt;"&amp;J221)+1</f>
        <v/>
      </c>
      <c r="O221">
        <f>ROUND(COUNTIF($B$2:$B$601,B221)/600*60,0)</f>
        <v/>
      </c>
      <c r="P221">
        <f>IF(N221&lt;=O221,1,0)</f>
        <v/>
      </c>
      <c r="Q221">
        <f>IF(OR(C221=4,C221=15,C221=27),1,0)</f>
        <v/>
      </c>
      <c r="R221">
        <f>IF(I221&lt;=60,1,0)</f>
        <v/>
      </c>
    </row>
    <row r="222">
      <c r="A222" t="n">
        <v>221</v>
      </c>
      <c r="B222" t="n">
        <v>2</v>
      </c>
      <c r="C222" t="n">
        <v>12</v>
      </c>
      <c r="D222" t="n">
        <v>2</v>
      </c>
      <c r="E222" t="n">
        <v>47</v>
      </c>
      <c r="F222" t="n">
        <v>0</v>
      </c>
      <c r="G222" t="n">
        <v>114</v>
      </c>
      <c r="H222" t="n">
        <v>0</v>
      </c>
      <c r="I222" t="n">
        <v>228</v>
      </c>
      <c r="J222" t="n">
        <v>0.285433</v>
      </c>
      <c r="K222">
        <f>RANK(J222,$J$2:$J$601,1)</f>
        <v/>
      </c>
      <c r="L222">
        <f>IF(K222&lt;=60,1,0)</f>
        <v/>
      </c>
      <c r="M222">
        <f>IF(MOD(A222-7,10)=0,1,0)</f>
        <v/>
      </c>
      <c r="N222">
        <f>COUNTIFS($B$2:$B$601,B222,$J$2:$J$601,"&lt;"&amp;J222)+1</f>
        <v/>
      </c>
      <c r="O222">
        <f>ROUND(COUNTIF($B$2:$B$601,B222)/600*60,0)</f>
        <v/>
      </c>
      <c r="P222">
        <f>IF(N222&lt;=O222,1,0)</f>
        <v/>
      </c>
      <c r="Q222">
        <f>IF(OR(C222=4,C222=15,C222=27),1,0)</f>
        <v/>
      </c>
      <c r="R222">
        <f>IF(I222&lt;=60,1,0)</f>
        <v/>
      </c>
    </row>
    <row r="223">
      <c r="A223" t="n">
        <v>222</v>
      </c>
      <c r="B223" t="n">
        <v>2</v>
      </c>
      <c r="C223" t="n">
        <v>12</v>
      </c>
      <c r="D223" t="n">
        <v>2</v>
      </c>
      <c r="E223" t="n">
        <v>60</v>
      </c>
      <c r="F223" t="n">
        <v>0</v>
      </c>
      <c r="G223" t="n">
        <v>138</v>
      </c>
      <c r="H223" t="n">
        <v>0</v>
      </c>
      <c r="I223" t="n">
        <v>208</v>
      </c>
      <c r="J223" t="n">
        <v>0.250422</v>
      </c>
      <c r="K223">
        <f>RANK(J223,$J$2:$J$601,1)</f>
        <v/>
      </c>
      <c r="L223">
        <f>IF(K223&lt;=60,1,0)</f>
        <v/>
      </c>
      <c r="M223">
        <f>IF(MOD(A223-7,10)=0,1,0)</f>
        <v/>
      </c>
      <c r="N223">
        <f>COUNTIFS($B$2:$B$601,B223,$J$2:$J$601,"&lt;"&amp;J223)+1</f>
        <v/>
      </c>
      <c r="O223">
        <f>ROUND(COUNTIF($B$2:$B$601,B223)/600*60,0)</f>
        <v/>
      </c>
      <c r="P223">
        <f>IF(N223&lt;=O223,1,0)</f>
        <v/>
      </c>
      <c r="Q223">
        <f>IF(OR(C223=4,C223=15,C223=27),1,0)</f>
        <v/>
      </c>
      <c r="R223">
        <f>IF(I223&lt;=60,1,0)</f>
        <v/>
      </c>
    </row>
    <row r="224">
      <c r="A224" t="n">
        <v>223</v>
      </c>
      <c r="B224" t="n">
        <v>2</v>
      </c>
      <c r="C224" t="n">
        <v>12</v>
      </c>
      <c r="D224" t="n">
        <v>1</v>
      </c>
      <c r="E224" t="n">
        <v>46</v>
      </c>
      <c r="F224" t="n">
        <v>0</v>
      </c>
      <c r="G224" t="n">
        <v>108</v>
      </c>
      <c r="H224" t="n">
        <v>0</v>
      </c>
      <c r="I224" t="n">
        <v>420</v>
      </c>
      <c r="J224" t="n">
        <v>0.216013</v>
      </c>
      <c r="K224">
        <f>RANK(J224,$J$2:$J$601,1)</f>
        <v/>
      </c>
      <c r="L224">
        <f>IF(K224&lt;=60,1,0)</f>
        <v/>
      </c>
      <c r="M224">
        <f>IF(MOD(A224-7,10)=0,1,0)</f>
        <v/>
      </c>
      <c r="N224">
        <f>COUNTIFS($B$2:$B$601,B224,$J$2:$J$601,"&lt;"&amp;J224)+1</f>
        <v/>
      </c>
      <c r="O224">
        <f>ROUND(COUNTIF($B$2:$B$601,B224)/600*60,0)</f>
        <v/>
      </c>
      <c r="P224">
        <f>IF(N224&lt;=O224,1,0)</f>
        <v/>
      </c>
      <c r="Q224">
        <f>IF(OR(C224=4,C224=15,C224=27),1,0)</f>
        <v/>
      </c>
      <c r="R224">
        <f>IF(I224&lt;=60,1,0)</f>
        <v/>
      </c>
    </row>
    <row r="225">
      <c r="A225" t="n">
        <v>224</v>
      </c>
      <c r="B225" t="n">
        <v>2</v>
      </c>
      <c r="C225" t="n">
        <v>12</v>
      </c>
      <c r="D225" t="n">
        <v>1</v>
      </c>
      <c r="E225" t="n">
        <v>79</v>
      </c>
      <c r="F225" t="n">
        <v>0</v>
      </c>
      <c r="G225" t="n">
        <v>142</v>
      </c>
      <c r="H225" t="n">
        <v>1</v>
      </c>
      <c r="I225" t="n">
        <v>34</v>
      </c>
      <c r="J225" t="n">
        <v>0.5567839999999999</v>
      </c>
      <c r="K225">
        <f>RANK(J225,$J$2:$J$601,1)</f>
        <v/>
      </c>
      <c r="L225">
        <f>IF(K225&lt;=60,1,0)</f>
        <v/>
      </c>
      <c r="M225">
        <f>IF(MOD(A225-7,10)=0,1,0)</f>
        <v/>
      </c>
      <c r="N225">
        <f>COUNTIFS($B$2:$B$601,B225,$J$2:$J$601,"&lt;"&amp;J225)+1</f>
        <v/>
      </c>
      <c r="O225">
        <f>ROUND(COUNTIF($B$2:$B$601,B225)/600*60,0)</f>
        <v/>
      </c>
      <c r="P225">
        <f>IF(N225&lt;=O225,1,0)</f>
        <v/>
      </c>
      <c r="Q225">
        <f>IF(OR(C225=4,C225=15,C225=27),1,0)</f>
        <v/>
      </c>
      <c r="R225">
        <f>IF(I225&lt;=60,1,0)</f>
        <v/>
      </c>
    </row>
    <row r="226">
      <c r="A226" t="n">
        <v>225</v>
      </c>
      <c r="B226" t="n">
        <v>2</v>
      </c>
      <c r="C226" t="n">
        <v>12</v>
      </c>
      <c r="D226" t="n">
        <v>1</v>
      </c>
      <c r="E226" t="n">
        <v>45</v>
      </c>
      <c r="F226" t="n">
        <v>0</v>
      </c>
      <c r="G226" t="n">
        <v>119</v>
      </c>
      <c r="H226" t="n">
        <v>0</v>
      </c>
      <c r="I226" t="n">
        <v>506</v>
      </c>
      <c r="J226" t="n">
        <v>0.723808</v>
      </c>
      <c r="K226">
        <f>RANK(J226,$J$2:$J$601,1)</f>
        <v/>
      </c>
      <c r="L226">
        <f>IF(K226&lt;=60,1,0)</f>
        <v/>
      </c>
      <c r="M226">
        <f>IF(MOD(A226-7,10)=0,1,0)</f>
        <v/>
      </c>
      <c r="N226">
        <f>COUNTIFS($B$2:$B$601,B226,$J$2:$J$601,"&lt;"&amp;J226)+1</f>
        <v/>
      </c>
      <c r="O226">
        <f>ROUND(COUNTIF($B$2:$B$601,B226)/600*60,0)</f>
        <v/>
      </c>
      <c r="P226">
        <f>IF(N226&lt;=O226,1,0)</f>
        <v/>
      </c>
      <c r="Q226">
        <f>IF(OR(C226=4,C226=15,C226=27),1,0)</f>
        <v/>
      </c>
      <c r="R226">
        <f>IF(I226&lt;=60,1,0)</f>
        <v/>
      </c>
    </row>
    <row r="227">
      <c r="A227" t="n">
        <v>226</v>
      </c>
      <c r="B227" t="n">
        <v>2</v>
      </c>
      <c r="C227" t="n">
        <v>12</v>
      </c>
      <c r="D227" t="n">
        <v>1</v>
      </c>
      <c r="E227" t="n">
        <v>45</v>
      </c>
      <c r="F227" t="n">
        <v>0</v>
      </c>
      <c r="G227" t="n">
        <v>132</v>
      </c>
      <c r="H227" t="n">
        <v>0</v>
      </c>
      <c r="I227" t="n">
        <v>528</v>
      </c>
      <c r="J227" t="n">
        <v>0.336018</v>
      </c>
      <c r="K227">
        <f>RANK(J227,$J$2:$J$601,1)</f>
        <v/>
      </c>
      <c r="L227">
        <f>IF(K227&lt;=60,1,0)</f>
        <v/>
      </c>
      <c r="M227">
        <f>IF(MOD(A227-7,10)=0,1,0)</f>
        <v/>
      </c>
      <c r="N227">
        <f>COUNTIFS($B$2:$B$601,B227,$J$2:$J$601,"&lt;"&amp;J227)+1</f>
        <v/>
      </c>
      <c r="O227">
        <f>ROUND(COUNTIF($B$2:$B$601,B227)/600*60,0)</f>
        <v/>
      </c>
      <c r="P227">
        <f>IF(N227&lt;=O227,1,0)</f>
        <v/>
      </c>
      <c r="Q227">
        <f>IF(OR(C227=4,C227=15,C227=27),1,0)</f>
        <v/>
      </c>
      <c r="R227">
        <f>IF(I227&lt;=60,1,0)</f>
        <v/>
      </c>
    </row>
    <row r="228">
      <c r="A228" t="n">
        <v>227</v>
      </c>
      <c r="B228" t="n">
        <v>2</v>
      </c>
      <c r="C228" t="n">
        <v>12</v>
      </c>
      <c r="D228" t="n">
        <v>1</v>
      </c>
      <c r="E228" t="n">
        <v>49</v>
      </c>
      <c r="F228" t="n">
        <v>1</v>
      </c>
      <c r="G228" t="n">
        <v>126</v>
      </c>
      <c r="H228" t="n">
        <v>0</v>
      </c>
      <c r="I228" t="n">
        <v>561</v>
      </c>
      <c r="J228" t="n">
        <v>0.052002</v>
      </c>
      <c r="K228">
        <f>RANK(J228,$J$2:$J$601,1)</f>
        <v/>
      </c>
      <c r="L228">
        <f>IF(K228&lt;=60,1,0)</f>
        <v/>
      </c>
      <c r="M228">
        <f>IF(MOD(A228-7,10)=0,1,0)</f>
        <v/>
      </c>
      <c r="N228">
        <f>COUNTIFS($B$2:$B$601,B228,$J$2:$J$601,"&lt;"&amp;J228)+1</f>
        <v/>
      </c>
      <c r="O228">
        <f>ROUND(COUNTIF($B$2:$B$601,B228)/600*60,0)</f>
        <v/>
      </c>
      <c r="P228">
        <f>IF(N228&lt;=O228,1,0)</f>
        <v/>
      </c>
      <c r="Q228">
        <f>IF(OR(C228=4,C228=15,C228=27),1,0)</f>
        <v/>
      </c>
      <c r="R228">
        <f>IF(I228&lt;=60,1,0)</f>
        <v/>
      </c>
    </row>
    <row r="229">
      <c r="A229" t="n">
        <v>228</v>
      </c>
      <c r="B229" t="n">
        <v>2</v>
      </c>
      <c r="C229" t="n">
        <v>12</v>
      </c>
      <c r="D229" t="n">
        <v>1</v>
      </c>
      <c r="E229" t="n">
        <v>69</v>
      </c>
      <c r="F229" t="n">
        <v>0</v>
      </c>
      <c r="G229" t="n">
        <v>150</v>
      </c>
      <c r="H229" t="n">
        <v>1</v>
      </c>
      <c r="I229" t="n">
        <v>174</v>
      </c>
      <c r="J229" t="n">
        <v>0.733809</v>
      </c>
      <c r="K229">
        <f>RANK(J229,$J$2:$J$601,1)</f>
        <v/>
      </c>
      <c r="L229">
        <f>IF(K229&lt;=60,1,0)</f>
        <v/>
      </c>
      <c r="M229">
        <f>IF(MOD(A229-7,10)=0,1,0)</f>
        <v/>
      </c>
      <c r="N229">
        <f>COUNTIFS($B$2:$B$601,B229,$J$2:$J$601,"&lt;"&amp;J229)+1</f>
        <v/>
      </c>
      <c r="O229">
        <f>ROUND(COUNTIF($B$2:$B$601,B229)/600*60,0)</f>
        <v/>
      </c>
      <c r="P229">
        <f>IF(N229&lt;=O229,1,0)</f>
        <v/>
      </c>
      <c r="Q229">
        <f>IF(OR(C229=4,C229=15,C229=27),1,0)</f>
        <v/>
      </c>
      <c r="R229">
        <f>IF(I229&lt;=60,1,0)</f>
        <v/>
      </c>
    </row>
    <row r="230">
      <c r="A230" t="n">
        <v>229</v>
      </c>
      <c r="B230" t="n">
        <v>2</v>
      </c>
      <c r="C230" t="n">
        <v>12</v>
      </c>
      <c r="D230" t="n">
        <v>2</v>
      </c>
      <c r="E230" t="n">
        <v>53</v>
      </c>
      <c r="F230" t="n">
        <v>0</v>
      </c>
      <c r="G230" t="n">
        <v>138</v>
      </c>
      <c r="H230" t="n">
        <v>0</v>
      </c>
      <c r="I230" t="n">
        <v>423</v>
      </c>
      <c r="J230" t="n">
        <v>0.013472</v>
      </c>
      <c r="K230">
        <f>RANK(J230,$J$2:$J$601,1)</f>
        <v/>
      </c>
      <c r="L230">
        <f>IF(K230&lt;=60,1,0)</f>
        <v/>
      </c>
      <c r="M230">
        <f>IF(MOD(A230-7,10)=0,1,0)</f>
        <v/>
      </c>
      <c r="N230">
        <f>COUNTIFS($B$2:$B$601,B230,$J$2:$J$601,"&lt;"&amp;J230)+1</f>
        <v/>
      </c>
      <c r="O230">
        <f>ROUND(COUNTIF($B$2:$B$601,B230)/600*60,0)</f>
        <v/>
      </c>
      <c r="P230">
        <f>IF(N230&lt;=O230,1,0)</f>
        <v/>
      </c>
      <c r="Q230">
        <f>IF(OR(C230=4,C230=15,C230=27),1,0)</f>
        <v/>
      </c>
      <c r="R230">
        <f>IF(I230&lt;=60,1,0)</f>
        <v/>
      </c>
    </row>
    <row r="231">
      <c r="A231" t="n">
        <v>230</v>
      </c>
      <c r="B231" t="n">
        <v>2</v>
      </c>
      <c r="C231" t="n">
        <v>12</v>
      </c>
      <c r="D231" t="n">
        <v>1</v>
      </c>
      <c r="E231" t="n">
        <v>37</v>
      </c>
      <c r="F231" t="n">
        <v>1</v>
      </c>
      <c r="G231" t="n">
        <v>109</v>
      </c>
      <c r="H231" t="n">
        <v>0</v>
      </c>
      <c r="I231" t="n">
        <v>483</v>
      </c>
      <c r="J231" t="n">
        <v>0.371233</v>
      </c>
      <c r="K231">
        <f>RANK(J231,$J$2:$J$601,1)</f>
        <v/>
      </c>
      <c r="L231">
        <f>IF(K231&lt;=60,1,0)</f>
        <v/>
      </c>
      <c r="M231">
        <f>IF(MOD(A231-7,10)=0,1,0)</f>
        <v/>
      </c>
      <c r="N231">
        <f>COUNTIFS($B$2:$B$601,B231,$J$2:$J$601,"&lt;"&amp;J231)+1</f>
        <v/>
      </c>
      <c r="O231">
        <f>ROUND(COUNTIF($B$2:$B$601,B231)/600*60,0)</f>
        <v/>
      </c>
      <c r="P231">
        <f>IF(N231&lt;=O231,1,0)</f>
        <v/>
      </c>
      <c r="Q231">
        <f>IF(OR(C231=4,C231=15,C231=27),1,0)</f>
        <v/>
      </c>
      <c r="R231">
        <f>IF(I231&lt;=60,1,0)</f>
        <v/>
      </c>
    </row>
    <row r="232">
      <c r="A232" t="n">
        <v>231</v>
      </c>
      <c r="B232" t="n">
        <v>2</v>
      </c>
      <c r="C232" t="n">
        <v>12</v>
      </c>
      <c r="D232" t="n">
        <v>2</v>
      </c>
      <c r="E232" t="n">
        <v>56</v>
      </c>
      <c r="F232" t="n">
        <v>0</v>
      </c>
      <c r="G232" t="n">
        <v>138</v>
      </c>
      <c r="H232" t="n">
        <v>0</v>
      </c>
      <c r="I232" t="n">
        <v>364</v>
      </c>
      <c r="J232" t="n">
        <v>0.392194</v>
      </c>
      <c r="K232">
        <f>RANK(J232,$J$2:$J$601,1)</f>
        <v/>
      </c>
      <c r="L232">
        <f>IF(K232&lt;=60,1,0)</f>
        <v/>
      </c>
      <c r="M232">
        <f>IF(MOD(A232-7,10)=0,1,0)</f>
        <v/>
      </c>
      <c r="N232">
        <f>COUNTIFS($B$2:$B$601,B232,$J$2:$J$601,"&lt;"&amp;J232)+1</f>
        <v/>
      </c>
      <c r="O232">
        <f>ROUND(COUNTIF($B$2:$B$601,B232)/600*60,0)</f>
        <v/>
      </c>
      <c r="P232">
        <f>IF(N232&lt;=O232,1,0)</f>
        <v/>
      </c>
      <c r="Q232">
        <f>IF(OR(C232=4,C232=15,C232=27),1,0)</f>
        <v/>
      </c>
      <c r="R232">
        <f>IF(I232&lt;=60,1,0)</f>
        <v/>
      </c>
    </row>
    <row r="233">
      <c r="A233" t="n">
        <v>232</v>
      </c>
      <c r="B233" t="n">
        <v>2</v>
      </c>
      <c r="C233" t="n">
        <v>12</v>
      </c>
      <c r="D233" t="n">
        <v>2</v>
      </c>
      <c r="E233" t="n">
        <v>40</v>
      </c>
      <c r="F233" t="n">
        <v>0</v>
      </c>
      <c r="G233" t="n">
        <v>114</v>
      </c>
      <c r="H233" t="n">
        <v>0</v>
      </c>
      <c r="I233" t="n">
        <v>549</v>
      </c>
      <c r="J233" t="n">
        <v>0.432603</v>
      </c>
      <c r="K233">
        <f>RANK(J233,$J$2:$J$601,1)</f>
        <v/>
      </c>
      <c r="L233">
        <f>IF(K233&lt;=60,1,0)</f>
        <v/>
      </c>
      <c r="M233">
        <f>IF(MOD(A233-7,10)=0,1,0)</f>
        <v/>
      </c>
      <c r="N233">
        <f>COUNTIFS($B$2:$B$601,B233,$J$2:$J$601,"&lt;"&amp;J233)+1</f>
        <v/>
      </c>
      <c r="O233">
        <f>ROUND(COUNTIF($B$2:$B$601,B233)/600*60,0)</f>
        <v/>
      </c>
      <c r="P233">
        <f>IF(N233&lt;=O233,1,0)</f>
        <v/>
      </c>
      <c r="Q233">
        <f>IF(OR(C233=4,C233=15,C233=27),1,0)</f>
        <v/>
      </c>
      <c r="R233">
        <f>IF(I233&lt;=60,1,0)</f>
        <v/>
      </c>
    </row>
    <row r="234">
      <c r="A234" t="n">
        <v>233</v>
      </c>
      <c r="B234" t="n">
        <v>2</v>
      </c>
      <c r="C234" t="n">
        <v>12</v>
      </c>
      <c r="D234" t="n">
        <v>1</v>
      </c>
      <c r="E234" t="n">
        <v>74</v>
      </c>
      <c r="F234" t="n">
        <v>1</v>
      </c>
      <c r="G234" t="n">
        <v>159</v>
      </c>
      <c r="H234" t="n">
        <v>1</v>
      </c>
      <c r="I234" t="n">
        <v>13</v>
      </c>
      <c r="J234" t="n">
        <v>0.047245</v>
      </c>
      <c r="K234">
        <f>RANK(J234,$J$2:$J$601,1)</f>
        <v/>
      </c>
      <c r="L234">
        <f>IF(K234&lt;=60,1,0)</f>
        <v/>
      </c>
      <c r="M234">
        <f>IF(MOD(A234-7,10)=0,1,0)</f>
        <v/>
      </c>
      <c r="N234">
        <f>COUNTIFS($B$2:$B$601,B234,$J$2:$J$601,"&lt;"&amp;J234)+1</f>
        <v/>
      </c>
      <c r="O234">
        <f>ROUND(COUNTIF($B$2:$B$601,B234)/600*60,0)</f>
        <v/>
      </c>
      <c r="P234">
        <f>IF(N234&lt;=O234,1,0)</f>
        <v/>
      </c>
      <c r="Q234">
        <f>IF(OR(C234=4,C234=15,C234=27),1,0)</f>
        <v/>
      </c>
      <c r="R234">
        <f>IF(I234&lt;=60,1,0)</f>
        <v/>
      </c>
    </row>
    <row r="235">
      <c r="A235" t="n">
        <v>234</v>
      </c>
      <c r="B235" t="n">
        <v>2</v>
      </c>
      <c r="C235" t="n">
        <v>12</v>
      </c>
      <c r="D235" t="n">
        <v>2</v>
      </c>
      <c r="E235" t="n">
        <v>71</v>
      </c>
      <c r="F235" t="n">
        <v>0</v>
      </c>
      <c r="G235" t="n">
        <v>144</v>
      </c>
      <c r="H235" t="n">
        <v>1</v>
      </c>
      <c r="I235" t="n">
        <v>4</v>
      </c>
      <c r="J235" t="n">
        <v>0.696331</v>
      </c>
      <c r="K235">
        <f>RANK(J235,$J$2:$J$601,1)</f>
        <v/>
      </c>
      <c r="L235">
        <f>IF(K235&lt;=60,1,0)</f>
        <v/>
      </c>
      <c r="M235">
        <f>IF(MOD(A235-7,10)=0,1,0)</f>
        <v/>
      </c>
      <c r="N235">
        <f>COUNTIFS($B$2:$B$601,B235,$J$2:$J$601,"&lt;"&amp;J235)+1</f>
        <v/>
      </c>
      <c r="O235">
        <f>ROUND(COUNTIF($B$2:$B$601,B235)/600*60,0)</f>
        <v/>
      </c>
      <c r="P235">
        <f>IF(N235&lt;=O235,1,0)</f>
        <v/>
      </c>
      <c r="Q235">
        <f>IF(OR(C235=4,C235=15,C235=27),1,0)</f>
        <v/>
      </c>
      <c r="R235">
        <f>IF(I235&lt;=60,1,0)</f>
        <v/>
      </c>
    </row>
    <row r="236">
      <c r="A236" t="n">
        <v>235</v>
      </c>
      <c r="B236" t="n">
        <v>2</v>
      </c>
      <c r="C236" t="n">
        <v>12</v>
      </c>
      <c r="D236" t="n">
        <v>2</v>
      </c>
      <c r="E236" t="n">
        <v>50</v>
      </c>
      <c r="F236" t="n">
        <v>1</v>
      </c>
      <c r="G236" t="n">
        <v>118</v>
      </c>
      <c r="H236" t="n">
        <v>0</v>
      </c>
      <c r="I236" t="n">
        <v>360</v>
      </c>
      <c r="J236" t="n">
        <v>0.278994</v>
      </c>
      <c r="K236">
        <f>RANK(J236,$J$2:$J$601,1)</f>
        <v/>
      </c>
      <c r="L236">
        <f>IF(K236&lt;=60,1,0)</f>
        <v/>
      </c>
      <c r="M236">
        <f>IF(MOD(A236-7,10)=0,1,0)</f>
        <v/>
      </c>
      <c r="N236">
        <f>COUNTIFS($B$2:$B$601,B236,$J$2:$J$601,"&lt;"&amp;J236)+1</f>
        <v/>
      </c>
      <c r="O236">
        <f>ROUND(COUNTIF($B$2:$B$601,B236)/600*60,0)</f>
        <v/>
      </c>
      <c r="P236">
        <f>IF(N236&lt;=O236,1,0)</f>
        <v/>
      </c>
      <c r="Q236">
        <f>IF(OR(C236=4,C236=15,C236=27),1,0)</f>
        <v/>
      </c>
      <c r="R236">
        <f>IF(I236&lt;=60,1,0)</f>
        <v/>
      </c>
    </row>
    <row r="237">
      <c r="A237" t="n">
        <v>236</v>
      </c>
      <c r="B237" t="n">
        <v>2</v>
      </c>
      <c r="C237" t="n">
        <v>12</v>
      </c>
      <c r="D237" t="n">
        <v>1</v>
      </c>
      <c r="E237" t="n">
        <v>74</v>
      </c>
      <c r="F237" t="n">
        <v>0</v>
      </c>
      <c r="G237" t="n">
        <v>114</v>
      </c>
      <c r="H237" t="n">
        <v>0</v>
      </c>
      <c r="I237" t="n">
        <v>168</v>
      </c>
      <c r="J237" t="n">
        <v>0.794567</v>
      </c>
      <c r="K237">
        <f>RANK(J237,$J$2:$J$601,1)</f>
        <v/>
      </c>
      <c r="L237">
        <f>IF(K237&lt;=60,1,0)</f>
        <v/>
      </c>
      <c r="M237">
        <f>IF(MOD(A237-7,10)=0,1,0)</f>
        <v/>
      </c>
      <c r="N237">
        <f>COUNTIFS($B$2:$B$601,B237,$J$2:$J$601,"&lt;"&amp;J237)+1</f>
        <v/>
      </c>
      <c r="O237">
        <f>ROUND(COUNTIF($B$2:$B$601,B237)/600*60,0)</f>
        <v/>
      </c>
      <c r="P237">
        <f>IF(N237&lt;=O237,1,0)</f>
        <v/>
      </c>
      <c r="Q237">
        <f>IF(OR(C237=4,C237=15,C237=27),1,0)</f>
        <v/>
      </c>
      <c r="R237">
        <f>IF(I237&lt;=60,1,0)</f>
        <v/>
      </c>
    </row>
    <row r="238">
      <c r="A238" t="n">
        <v>237</v>
      </c>
      <c r="B238" t="n">
        <v>2</v>
      </c>
      <c r="C238" t="n">
        <v>12</v>
      </c>
      <c r="D238" t="n">
        <v>1</v>
      </c>
      <c r="E238" t="n">
        <v>48</v>
      </c>
      <c r="F238" t="n">
        <v>0</v>
      </c>
      <c r="G238" t="n">
        <v>112</v>
      </c>
      <c r="H238" t="n">
        <v>0</v>
      </c>
      <c r="I238" t="n">
        <v>326</v>
      </c>
      <c r="J238" t="n">
        <v>0.278259</v>
      </c>
      <c r="K238">
        <f>RANK(J238,$J$2:$J$601,1)</f>
        <v/>
      </c>
      <c r="L238">
        <f>IF(K238&lt;=60,1,0)</f>
        <v/>
      </c>
      <c r="M238">
        <f>IF(MOD(A238-7,10)=0,1,0)</f>
        <v/>
      </c>
      <c r="N238">
        <f>COUNTIFS($B$2:$B$601,B238,$J$2:$J$601,"&lt;"&amp;J238)+1</f>
        <v/>
      </c>
      <c r="O238">
        <f>ROUND(COUNTIF($B$2:$B$601,B238)/600*60,0)</f>
        <v/>
      </c>
      <c r="P238">
        <f>IF(N238&lt;=O238,1,0)</f>
        <v/>
      </c>
      <c r="Q238">
        <f>IF(OR(C238=4,C238=15,C238=27),1,0)</f>
        <v/>
      </c>
      <c r="R238">
        <f>IF(I238&lt;=60,1,0)</f>
        <v/>
      </c>
    </row>
    <row r="239">
      <c r="A239" t="n">
        <v>238</v>
      </c>
      <c r="B239" t="n">
        <v>2</v>
      </c>
      <c r="C239" t="n">
        <v>12</v>
      </c>
      <c r="D239" t="n">
        <v>1</v>
      </c>
      <c r="E239" t="n">
        <v>67</v>
      </c>
      <c r="F239" t="n">
        <v>0</v>
      </c>
      <c r="G239" t="n">
        <v>143</v>
      </c>
      <c r="H239" t="n">
        <v>1</v>
      </c>
      <c r="I239" t="n">
        <v>125</v>
      </c>
      <c r="J239" t="n">
        <v>0.512207</v>
      </c>
      <c r="K239">
        <f>RANK(J239,$J$2:$J$601,1)</f>
        <v/>
      </c>
      <c r="L239">
        <f>IF(K239&lt;=60,1,0)</f>
        <v/>
      </c>
      <c r="M239">
        <f>IF(MOD(A239-7,10)=0,1,0)</f>
        <v/>
      </c>
      <c r="N239">
        <f>COUNTIFS($B$2:$B$601,B239,$J$2:$J$601,"&lt;"&amp;J239)+1</f>
        <v/>
      </c>
      <c r="O239">
        <f>ROUND(COUNTIF($B$2:$B$601,B239)/600*60,0)</f>
        <v/>
      </c>
      <c r="P239">
        <f>IF(N239&lt;=O239,1,0)</f>
        <v/>
      </c>
      <c r="Q239">
        <f>IF(OR(C239=4,C239=15,C239=27),1,0)</f>
        <v/>
      </c>
      <c r="R239">
        <f>IF(I239&lt;=60,1,0)</f>
        <v/>
      </c>
    </row>
    <row r="240">
      <c r="A240" t="n">
        <v>239</v>
      </c>
      <c r="B240" t="n">
        <v>2</v>
      </c>
      <c r="C240" t="n">
        <v>12</v>
      </c>
      <c r="D240" t="n">
        <v>2</v>
      </c>
      <c r="E240" t="n">
        <v>73</v>
      </c>
      <c r="F240" t="n">
        <v>0</v>
      </c>
      <c r="G240" t="n">
        <v>141</v>
      </c>
      <c r="H240" t="n">
        <v>1</v>
      </c>
      <c r="I240" t="n">
        <v>149</v>
      </c>
      <c r="J240" t="n">
        <v>0.578338</v>
      </c>
      <c r="K240">
        <f>RANK(J240,$J$2:$J$601,1)</f>
        <v/>
      </c>
      <c r="L240">
        <f>IF(K240&lt;=60,1,0)</f>
        <v/>
      </c>
      <c r="M240">
        <f>IF(MOD(A240-7,10)=0,1,0)</f>
        <v/>
      </c>
      <c r="N240">
        <f>COUNTIFS($B$2:$B$601,B240,$J$2:$J$601,"&lt;"&amp;J240)+1</f>
        <v/>
      </c>
      <c r="O240">
        <f>ROUND(COUNTIF($B$2:$B$601,B240)/600*60,0)</f>
        <v/>
      </c>
      <c r="P240">
        <f>IF(N240&lt;=O240,1,0)</f>
        <v/>
      </c>
      <c r="Q240">
        <f>IF(OR(C240=4,C240=15,C240=27),1,0)</f>
        <v/>
      </c>
      <c r="R240">
        <f>IF(I240&lt;=60,1,0)</f>
        <v/>
      </c>
    </row>
    <row r="241">
      <c r="A241" t="n">
        <v>240</v>
      </c>
      <c r="B241" t="n">
        <v>2</v>
      </c>
      <c r="C241" t="n">
        <v>12</v>
      </c>
      <c r="D241" t="n">
        <v>2</v>
      </c>
      <c r="E241" t="n">
        <v>69</v>
      </c>
      <c r="F241" t="n">
        <v>1</v>
      </c>
      <c r="G241" t="n">
        <v>138</v>
      </c>
      <c r="H241" t="n">
        <v>0</v>
      </c>
      <c r="I241" t="n">
        <v>484</v>
      </c>
      <c r="J241" t="n">
        <v>0.873584</v>
      </c>
      <c r="K241">
        <f>RANK(J241,$J$2:$J$601,1)</f>
        <v/>
      </c>
      <c r="L241">
        <f>IF(K241&lt;=60,1,0)</f>
        <v/>
      </c>
      <c r="M241">
        <f>IF(MOD(A241-7,10)=0,1,0)</f>
        <v/>
      </c>
      <c r="N241">
        <f>COUNTIFS($B$2:$B$601,B241,$J$2:$J$601,"&lt;"&amp;J241)+1</f>
        <v/>
      </c>
      <c r="O241">
        <f>ROUND(COUNTIF($B$2:$B$601,B241)/600*60,0)</f>
        <v/>
      </c>
      <c r="P241">
        <f>IF(N241&lt;=O241,1,0)</f>
        <v/>
      </c>
      <c r="Q241">
        <f>IF(OR(C241=4,C241=15,C241=27),1,0)</f>
        <v/>
      </c>
      <c r="R241">
        <f>IF(I241&lt;=60,1,0)</f>
        <v/>
      </c>
    </row>
    <row r="242">
      <c r="A242" t="n">
        <v>241</v>
      </c>
      <c r="B242" t="n">
        <v>2</v>
      </c>
      <c r="C242" t="n">
        <v>13</v>
      </c>
      <c r="D242" t="n">
        <v>2</v>
      </c>
      <c r="E242" t="n">
        <v>41</v>
      </c>
      <c r="F242" t="n">
        <v>1</v>
      </c>
      <c r="G242" t="n">
        <v>117</v>
      </c>
      <c r="H242" t="n">
        <v>0</v>
      </c>
      <c r="I242" t="n">
        <v>285</v>
      </c>
      <c r="J242" t="n">
        <v>0.469649</v>
      </c>
      <c r="K242">
        <f>RANK(J242,$J$2:$J$601,1)</f>
        <v/>
      </c>
      <c r="L242">
        <f>IF(K242&lt;=60,1,0)</f>
        <v/>
      </c>
      <c r="M242">
        <f>IF(MOD(A242-7,10)=0,1,0)</f>
        <v/>
      </c>
      <c r="N242">
        <f>COUNTIFS($B$2:$B$601,B242,$J$2:$J$601,"&lt;"&amp;J242)+1</f>
        <v/>
      </c>
      <c r="O242">
        <f>ROUND(COUNTIF($B$2:$B$601,B242)/600*60,0)</f>
        <v/>
      </c>
      <c r="P242">
        <f>IF(N242&lt;=O242,1,0)</f>
        <v/>
      </c>
      <c r="Q242">
        <f>IF(OR(C242=4,C242=15,C242=27),1,0)</f>
        <v/>
      </c>
      <c r="R242">
        <f>IF(I242&lt;=60,1,0)</f>
        <v/>
      </c>
    </row>
    <row r="243">
      <c r="A243" t="n">
        <v>242</v>
      </c>
      <c r="B243" t="n">
        <v>2</v>
      </c>
      <c r="C243" t="n">
        <v>13</v>
      </c>
      <c r="D243" t="n">
        <v>1</v>
      </c>
      <c r="E243" t="n">
        <v>75</v>
      </c>
      <c r="F243" t="n">
        <v>0</v>
      </c>
      <c r="G243" t="n">
        <v>136</v>
      </c>
      <c r="H243" t="n">
        <v>0</v>
      </c>
      <c r="I243" t="n">
        <v>320</v>
      </c>
      <c r="J243" t="n">
        <v>0.78363</v>
      </c>
      <c r="K243">
        <f>RANK(J243,$J$2:$J$601,1)</f>
        <v/>
      </c>
      <c r="L243">
        <f>IF(K243&lt;=60,1,0)</f>
        <v/>
      </c>
      <c r="M243">
        <f>IF(MOD(A243-7,10)=0,1,0)</f>
        <v/>
      </c>
      <c r="N243">
        <f>COUNTIFS($B$2:$B$601,B243,$J$2:$J$601,"&lt;"&amp;J243)+1</f>
        <v/>
      </c>
      <c r="O243">
        <f>ROUND(COUNTIF($B$2:$B$601,B243)/600*60,0)</f>
        <v/>
      </c>
      <c r="P243">
        <f>IF(N243&lt;=O243,1,0)</f>
        <v/>
      </c>
      <c r="Q243">
        <f>IF(OR(C243=4,C243=15,C243=27),1,0)</f>
        <v/>
      </c>
      <c r="R243">
        <f>IF(I243&lt;=60,1,0)</f>
        <v/>
      </c>
    </row>
    <row r="244">
      <c r="A244" t="n">
        <v>243</v>
      </c>
      <c r="B244" t="n">
        <v>2</v>
      </c>
      <c r="C244" t="n">
        <v>13</v>
      </c>
      <c r="D244" t="n">
        <v>2</v>
      </c>
      <c r="E244" t="n">
        <v>74</v>
      </c>
      <c r="F244" t="n">
        <v>0</v>
      </c>
      <c r="G244" t="n">
        <v>133</v>
      </c>
      <c r="H244" t="n">
        <v>0</v>
      </c>
      <c r="I244" t="n">
        <v>123</v>
      </c>
      <c r="J244" t="n">
        <v>0.665703</v>
      </c>
      <c r="K244">
        <f>RANK(J244,$J$2:$J$601,1)</f>
        <v/>
      </c>
      <c r="L244">
        <f>IF(K244&lt;=60,1,0)</f>
        <v/>
      </c>
      <c r="M244">
        <f>IF(MOD(A244-7,10)=0,1,0)</f>
        <v/>
      </c>
      <c r="N244">
        <f>COUNTIFS($B$2:$B$601,B244,$J$2:$J$601,"&lt;"&amp;J244)+1</f>
        <v/>
      </c>
      <c r="O244">
        <f>ROUND(COUNTIF($B$2:$B$601,B244)/600*60,0)</f>
        <v/>
      </c>
      <c r="P244">
        <f>IF(N244&lt;=O244,1,0)</f>
        <v/>
      </c>
      <c r="Q244">
        <f>IF(OR(C244=4,C244=15,C244=27),1,0)</f>
        <v/>
      </c>
      <c r="R244">
        <f>IF(I244&lt;=60,1,0)</f>
        <v/>
      </c>
    </row>
    <row r="245">
      <c r="A245" t="n">
        <v>244</v>
      </c>
      <c r="B245" t="n">
        <v>2</v>
      </c>
      <c r="C245" t="n">
        <v>13</v>
      </c>
      <c r="D245" t="n">
        <v>2</v>
      </c>
      <c r="E245" t="n">
        <v>56</v>
      </c>
      <c r="F245" t="n">
        <v>0</v>
      </c>
      <c r="G245" t="n">
        <v>127</v>
      </c>
      <c r="H245" t="n">
        <v>0</v>
      </c>
      <c r="I245" t="n">
        <v>446</v>
      </c>
      <c r="J245" t="n">
        <v>0.036332</v>
      </c>
      <c r="K245">
        <f>RANK(J245,$J$2:$J$601,1)</f>
        <v/>
      </c>
      <c r="L245">
        <f>IF(K245&lt;=60,1,0)</f>
        <v/>
      </c>
      <c r="M245">
        <f>IF(MOD(A245-7,10)=0,1,0)</f>
        <v/>
      </c>
      <c r="N245">
        <f>COUNTIFS($B$2:$B$601,B245,$J$2:$J$601,"&lt;"&amp;J245)+1</f>
        <v/>
      </c>
      <c r="O245">
        <f>ROUND(COUNTIF($B$2:$B$601,B245)/600*60,0)</f>
        <v/>
      </c>
      <c r="P245">
        <f>IF(N245&lt;=O245,1,0)</f>
        <v/>
      </c>
      <c r="Q245">
        <f>IF(OR(C245=4,C245=15,C245=27),1,0)</f>
        <v/>
      </c>
      <c r="R245">
        <f>IF(I245&lt;=60,1,0)</f>
        <v/>
      </c>
    </row>
    <row r="246">
      <c r="A246" t="n">
        <v>245</v>
      </c>
      <c r="B246" t="n">
        <v>2</v>
      </c>
      <c r="C246" t="n">
        <v>13</v>
      </c>
      <c r="D246" t="n">
        <v>2</v>
      </c>
      <c r="E246" t="n">
        <v>68</v>
      </c>
      <c r="F246" t="n">
        <v>0</v>
      </c>
      <c r="G246" t="n">
        <v>157</v>
      </c>
      <c r="H246" t="n">
        <v>1</v>
      </c>
      <c r="I246" t="n">
        <v>115</v>
      </c>
      <c r="J246" t="n">
        <v>0.07788200000000001</v>
      </c>
      <c r="K246">
        <f>RANK(J246,$J$2:$J$601,1)</f>
        <v/>
      </c>
      <c r="L246">
        <f>IF(K246&lt;=60,1,0)</f>
        <v/>
      </c>
      <c r="M246">
        <f>IF(MOD(A246-7,10)=0,1,0)</f>
        <v/>
      </c>
      <c r="N246">
        <f>COUNTIFS($B$2:$B$601,B246,$J$2:$J$601,"&lt;"&amp;J246)+1</f>
        <v/>
      </c>
      <c r="O246">
        <f>ROUND(COUNTIF($B$2:$B$601,B246)/600*60,0)</f>
        <v/>
      </c>
      <c r="P246">
        <f>IF(N246&lt;=O246,1,0)</f>
        <v/>
      </c>
      <c r="Q246">
        <f>IF(OR(C246=4,C246=15,C246=27),1,0)</f>
        <v/>
      </c>
      <c r="R246">
        <f>IF(I246&lt;=60,1,0)</f>
        <v/>
      </c>
    </row>
    <row r="247">
      <c r="A247" t="n">
        <v>246</v>
      </c>
      <c r="B247" t="n">
        <v>2</v>
      </c>
      <c r="C247" t="n">
        <v>13</v>
      </c>
      <c r="D247" t="n">
        <v>1</v>
      </c>
      <c r="E247" t="n">
        <v>31</v>
      </c>
      <c r="F247" t="n">
        <v>0</v>
      </c>
      <c r="G247" t="n">
        <v>128</v>
      </c>
      <c r="H247" t="n">
        <v>0</v>
      </c>
      <c r="I247" t="n">
        <v>532</v>
      </c>
      <c r="J247" t="n">
        <v>0.227545</v>
      </c>
      <c r="K247">
        <f>RANK(J247,$J$2:$J$601,1)</f>
        <v/>
      </c>
      <c r="L247">
        <f>IF(K247&lt;=60,1,0)</f>
        <v/>
      </c>
      <c r="M247">
        <f>IF(MOD(A247-7,10)=0,1,0)</f>
        <v/>
      </c>
      <c r="N247">
        <f>COUNTIFS($B$2:$B$601,B247,$J$2:$J$601,"&lt;"&amp;J247)+1</f>
        <v/>
      </c>
      <c r="O247">
        <f>ROUND(COUNTIF($B$2:$B$601,B247)/600*60,0)</f>
        <v/>
      </c>
      <c r="P247">
        <f>IF(N247&lt;=O247,1,0)</f>
        <v/>
      </c>
      <c r="Q247">
        <f>IF(OR(C247=4,C247=15,C247=27),1,0)</f>
        <v/>
      </c>
      <c r="R247">
        <f>IF(I247&lt;=60,1,0)</f>
        <v/>
      </c>
    </row>
    <row r="248">
      <c r="A248" t="n">
        <v>247</v>
      </c>
      <c r="B248" t="n">
        <v>2</v>
      </c>
      <c r="C248" t="n">
        <v>13</v>
      </c>
      <c r="D248" t="n">
        <v>1</v>
      </c>
      <c r="E248" t="n">
        <v>44</v>
      </c>
      <c r="F248" t="n">
        <v>0</v>
      </c>
      <c r="G248" t="n">
        <v>123</v>
      </c>
      <c r="H248" t="n">
        <v>0</v>
      </c>
      <c r="I248" t="n">
        <v>486</v>
      </c>
      <c r="J248" t="n">
        <v>0.5467919999999999</v>
      </c>
      <c r="K248">
        <f>RANK(J248,$J$2:$J$601,1)</f>
        <v/>
      </c>
      <c r="L248">
        <f>IF(K248&lt;=60,1,0)</f>
        <v/>
      </c>
      <c r="M248">
        <f>IF(MOD(A248-7,10)=0,1,0)</f>
        <v/>
      </c>
      <c r="N248">
        <f>COUNTIFS($B$2:$B$601,B248,$J$2:$J$601,"&lt;"&amp;J248)+1</f>
        <v/>
      </c>
      <c r="O248">
        <f>ROUND(COUNTIF($B$2:$B$601,B248)/600*60,0)</f>
        <v/>
      </c>
      <c r="P248">
        <f>IF(N248&lt;=O248,1,0)</f>
        <v/>
      </c>
      <c r="Q248">
        <f>IF(OR(C248=4,C248=15,C248=27),1,0)</f>
        <v/>
      </c>
      <c r="R248">
        <f>IF(I248&lt;=60,1,0)</f>
        <v/>
      </c>
    </row>
    <row r="249">
      <c r="A249" t="n">
        <v>248</v>
      </c>
      <c r="B249" t="n">
        <v>2</v>
      </c>
      <c r="C249" t="n">
        <v>13</v>
      </c>
      <c r="D249" t="n">
        <v>2</v>
      </c>
      <c r="E249" t="n">
        <v>58</v>
      </c>
      <c r="F249" t="n">
        <v>0</v>
      </c>
      <c r="G249" t="n">
        <v>132</v>
      </c>
      <c r="H249" t="n">
        <v>0</v>
      </c>
      <c r="I249" t="n">
        <v>402</v>
      </c>
      <c r="J249" t="n">
        <v>0.968826</v>
      </c>
      <c r="K249">
        <f>RANK(J249,$J$2:$J$601,1)</f>
        <v/>
      </c>
      <c r="L249">
        <f>IF(K249&lt;=60,1,0)</f>
        <v/>
      </c>
      <c r="M249">
        <f>IF(MOD(A249-7,10)=0,1,0)</f>
        <v/>
      </c>
      <c r="N249">
        <f>COUNTIFS($B$2:$B$601,B249,$J$2:$J$601,"&lt;"&amp;J249)+1</f>
        <v/>
      </c>
      <c r="O249">
        <f>ROUND(COUNTIF($B$2:$B$601,B249)/600*60,0)</f>
        <v/>
      </c>
      <c r="P249">
        <f>IF(N249&lt;=O249,1,0)</f>
        <v/>
      </c>
      <c r="Q249">
        <f>IF(OR(C249=4,C249=15,C249=27),1,0)</f>
        <v/>
      </c>
      <c r="R249">
        <f>IF(I249&lt;=60,1,0)</f>
        <v/>
      </c>
    </row>
    <row r="250">
      <c r="A250" t="n">
        <v>249</v>
      </c>
      <c r="B250" t="n">
        <v>2</v>
      </c>
      <c r="C250" t="n">
        <v>13</v>
      </c>
      <c r="D250" t="n">
        <v>1</v>
      </c>
      <c r="E250" t="n">
        <v>39</v>
      </c>
      <c r="F250" t="n">
        <v>1</v>
      </c>
      <c r="G250" t="n">
        <v>111</v>
      </c>
      <c r="H250" t="n">
        <v>0</v>
      </c>
      <c r="I250" t="n">
        <v>263</v>
      </c>
      <c r="J250" t="n">
        <v>0.492576</v>
      </c>
      <c r="K250">
        <f>RANK(J250,$J$2:$J$601,1)</f>
        <v/>
      </c>
      <c r="L250">
        <f>IF(K250&lt;=60,1,0)</f>
        <v/>
      </c>
      <c r="M250">
        <f>IF(MOD(A250-7,10)=0,1,0)</f>
        <v/>
      </c>
      <c r="N250">
        <f>COUNTIFS($B$2:$B$601,B250,$J$2:$J$601,"&lt;"&amp;J250)+1</f>
        <v/>
      </c>
      <c r="O250">
        <f>ROUND(COUNTIF($B$2:$B$601,B250)/600*60,0)</f>
        <v/>
      </c>
      <c r="P250">
        <f>IF(N250&lt;=O250,1,0)</f>
        <v/>
      </c>
      <c r="Q250">
        <f>IF(OR(C250=4,C250=15,C250=27),1,0)</f>
        <v/>
      </c>
      <c r="R250">
        <f>IF(I250&lt;=60,1,0)</f>
        <v/>
      </c>
    </row>
    <row r="251">
      <c r="A251" t="n">
        <v>250</v>
      </c>
      <c r="B251" t="n">
        <v>2</v>
      </c>
      <c r="C251" t="n">
        <v>13</v>
      </c>
      <c r="D251" t="n">
        <v>1</v>
      </c>
      <c r="E251" t="n">
        <v>76</v>
      </c>
      <c r="F251" t="n">
        <v>1</v>
      </c>
      <c r="G251" t="n">
        <v>106</v>
      </c>
      <c r="H251" t="n">
        <v>0</v>
      </c>
      <c r="I251" t="n">
        <v>273</v>
      </c>
      <c r="J251" t="n">
        <v>0.36788</v>
      </c>
      <c r="K251">
        <f>RANK(J251,$J$2:$J$601,1)</f>
        <v/>
      </c>
      <c r="L251">
        <f>IF(K251&lt;=60,1,0)</f>
        <v/>
      </c>
      <c r="M251">
        <f>IF(MOD(A251-7,10)=0,1,0)</f>
        <v/>
      </c>
      <c r="N251">
        <f>COUNTIFS($B$2:$B$601,B251,$J$2:$J$601,"&lt;"&amp;J251)+1</f>
        <v/>
      </c>
      <c r="O251">
        <f>ROUND(COUNTIF($B$2:$B$601,B251)/600*60,0)</f>
        <v/>
      </c>
      <c r="P251">
        <f>IF(N251&lt;=O251,1,0)</f>
        <v/>
      </c>
      <c r="Q251">
        <f>IF(OR(C251=4,C251=15,C251=27),1,0)</f>
        <v/>
      </c>
      <c r="R251">
        <f>IF(I251&lt;=60,1,0)</f>
        <v/>
      </c>
    </row>
    <row r="252">
      <c r="A252" t="n">
        <v>251</v>
      </c>
      <c r="B252" t="n">
        <v>2</v>
      </c>
      <c r="C252" t="n">
        <v>13</v>
      </c>
      <c r="D252" t="n">
        <v>2</v>
      </c>
      <c r="E252" t="n">
        <v>64</v>
      </c>
      <c r="F252" t="n">
        <v>0</v>
      </c>
      <c r="G252" t="n">
        <v>131</v>
      </c>
      <c r="H252" t="n">
        <v>0</v>
      </c>
      <c r="I252" t="n">
        <v>299</v>
      </c>
      <c r="J252" t="n">
        <v>0.905091</v>
      </c>
      <c r="K252">
        <f>RANK(J252,$J$2:$J$601,1)</f>
        <v/>
      </c>
      <c r="L252">
        <f>IF(K252&lt;=60,1,0)</f>
        <v/>
      </c>
      <c r="M252">
        <f>IF(MOD(A252-7,10)=0,1,0)</f>
        <v/>
      </c>
      <c r="N252">
        <f>COUNTIFS($B$2:$B$601,B252,$J$2:$J$601,"&lt;"&amp;J252)+1</f>
        <v/>
      </c>
      <c r="O252">
        <f>ROUND(COUNTIF($B$2:$B$601,B252)/600*60,0)</f>
        <v/>
      </c>
      <c r="P252">
        <f>IF(N252&lt;=O252,1,0)</f>
        <v/>
      </c>
      <c r="Q252">
        <f>IF(OR(C252=4,C252=15,C252=27),1,0)</f>
        <v/>
      </c>
      <c r="R252">
        <f>IF(I252&lt;=60,1,0)</f>
        <v/>
      </c>
    </row>
    <row r="253">
      <c r="A253" t="n">
        <v>252</v>
      </c>
      <c r="B253" t="n">
        <v>2</v>
      </c>
      <c r="C253" t="n">
        <v>13</v>
      </c>
      <c r="D253" t="n">
        <v>1</v>
      </c>
      <c r="E253" t="n">
        <v>42</v>
      </c>
      <c r="F253" t="n">
        <v>0</v>
      </c>
      <c r="G253" t="n">
        <v>117</v>
      </c>
      <c r="H253" t="n">
        <v>0</v>
      </c>
      <c r="I253" t="n">
        <v>595</v>
      </c>
      <c r="J253" t="n">
        <v>0.365433</v>
      </c>
      <c r="K253">
        <f>RANK(J253,$J$2:$J$601,1)</f>
        <v/>
      </c>
      <c r="L253">
        <f>IF(K253&lt;=60,1,0)</f>
        <v/>
      </c>
      <c r="M253">
        <f>IF(MOD(A253-7,10)=0,1,0)</f>
        <v/>
      </c>
      <c r="N253">
        <f>COUNTIFS($B$2:$B$601,B253,$J$2:$J$601,"&lt;"&amp;J253)+1</f>
        <v/>
      </c>
      <c r="O253">
        <f>ROUND(COUNTIF($B$2:$B$601,B253)/600*60,0)</f>
        <v/>
      </c>
      <c r="P253">
        <f>IF(N253&lt;=O253,1,0)</f>
        <v/>
      </c>
      <c r="Q253">
        <f>IF(OR(C253=4,C253=15,C253=27),1,0)</f>
        <v/>
      </c>
      <c r="R253">
        <f>IF(I253&lt;=60,1,0)</f>
        <v/>
      </c>
    </row>
    <row r="254">
      <c r="A254" t="n">
        <v>253</v>
      </c>
      <c r="B254" t="n">
        <v>2</v>
      </c>
      <c r="C254" t="n">
        <v>13</v>
      </c>
      <c r="D254" t="n">
        <v>1</v>
      </c>
      <c r="E254" t="n">
        <v>30</v>
      </c>
      <c r="F254" t="n">
        <v>0</v>
      </c>
      <c r="G254" t="n">
        <v>87</v>
      </c>
      <c r="H254" t="n">
        <v>0</v>
      </c>
      <c r="I254" t="n">
        <v>569</v>
      </c>
      <c r="J254" t="n">
        <v>0.692977</v>
      </c>
      <c r="K254">
        <f>RANK(J254,$J$2:$J$601,1)</f>
        <v/>
      </c>
      <c r="L254">
        <f>IF(K254&lt;=60,1,0)</f>
        <v/>
      </c>
      <c r="M254">
        <f>IF(MOD(A254-7,10)=0,1,0)</f>
        <v/>
      </c>
      <c r="N254">
        <f>COUNTIFS($B$2:$B$601,B254,$J$2:$J$601,"&lt;"&amp;J254)+1</f>
        <v/>
      </c>
      <c r="O254">
        <f>ROUND(COUNTIF($B$2:$B$601,B254)/600*60,0)</f>
        <v/>
      </c>
      <c r="P254">
        <f>IF(N254&lt;=O254,1,0)</f>
        <v/>
      </c>
      <c r="Q254">
        <f>IF(OR(C254=4,C254=15,C254=27),1,0)</f>
        <v/>
      </c>
      <c r="R254">
        <f>IF(I254&lt;=60,1,0)</f>
        <v/>
      </c>
    </row>
    <row r="255">
      <c r="A255" t="n">
        <v>254</v>
      </c>
      <c r="B255" t="n">
        <v>2</v>
      </c>
      <c r="C255" t="n">
        <v>13</v>
      </c>
      <c r="D255" t="n">
        <v>2</v>
      </c>
      <c r="E255" t="n">
        <v>70</v>
      </c>
      <c r="F255" t="n">
        <v>0</v>
      </c>
      <c r="G255" t="n">
        <v>112</v>
      </c>
      <c r="H255" t="n">
        <v>0</v>
      </c>
      <c r="I255" t="n">
        <v>304</v>
      </c>
      <c r="J255" t="n">
        <v>0.6161990000000001</v>
      </c>
      <c r="K255">
        <f>RANK(J255,$J$2:$J$601,1)</f>
        <v/>
      </c>
      <c r="L255">
        <f>IF(K255&lt;=60,1,0)</f>
        <v/>
      </c>
      <c r="M255">
        <f>IF(MOD(A255-7,10)=0,1,0)</f>
        <v/>
      </c>
      <c r="N255">
        <f>COUNTIFS($B$2:$B$601,B255,$J$2:$J$601,"&lt;"&amp;J255)+1</f>
        <v/>
      </c>
      <c r="O255">
        <f>ROUND(COUNTIF($B$2:$B$601,B255)/600*60,0)</f>
        <v/>
      </c>
      <c r="P255">
        <f>IF(N255&lt;=O255,1,0)</f>
        <v/>
      </c>
      <c r="Q255">
        <f>IF(OR(C255=4,C255=15,C255=27),1,0)</f>
        <v/>
      </c>
      <c r="R255">
        <f>IF(I255&lt;=60,1,0)</f>
        <v/>
      </c>
    </row>
    <row r="256">
      <c r="A256" t="n">
        <v>255</v>
      </c>
      <c r="B256" t="n">
        <v>2</v>
      </c>
      <c r="C256" t="n">
        <v>13</v>
      </c>
      <c r="D256" t="n">
        <v>1</v>
      </c>
      <c r="E256" t="n">
        <v>50</v>
      </c>
      <c r="F256" t="n">
        <v>0</v>
      </c>
      <c r="G256" t="n">
        <v>121</v>
      </c>
      <c r="H256" t="n">
        <v>0</v>
      </c>
      <c r="I256" t="n">
        <v>306</v>
      </c>
      <c r="J256" t="n">
        <v>0.618206</v>
      </c>
      <c r="K256">
        <f>RANK(J256,$J$2:$J$601,1)</f>
        <v/>
      </c>
      <c r="L256">
        <f>IF(K256&lt;=60,1,0)</f>
        <v/>
      </c>
      <c r="M256">
        <f>IF(MOD(A256-7,10)=0,1,0)</f>
        <v/>
      </c>
      <c r="N256">
        <f>COUNTIFS($B$2:$B$601,B256,$J$2:$J$601,"&lt;"&amp;J256)+1</f>
        <v/>
      </c>
      <c r="O256">
        <f>ROUND(COUNTIF($B$2:$B$601,B256)/600*60,0)</f>
        <v/>
      </c>
      <c r="P256">
        <f>IF(N256&lt;=O256,1,0)</f>
        <v/>
      </c>
      <c r="Q256">
        <f>IF(OR(C256=4,C256=15,C256=27),1,0)</f>
        <v/>
      </c>
      <c r="R256">
        <f>IF(I256&lt;=60,1,0)</f>
        <v/>
      </c>
    </row>
    <row r="257">
      <c r="A257" t="n">
        <v>256</v>
      </c>
      <c r="B257" t="n">
        <v>2</v>
      </c>
      <c r="C257" t="n">
        <v>13</v>
      </c>
      <c r="D257" t="n">
        <v>2</v>
      </c>
      <c r="E257" t="n">
        <v>40</v>
      </c>
      <c r="F257" t="n">
        <v>0</v>
      </c>
      <c r="G257" t="n">
        <v>150</v>
      </c>
      <c r="H257" t="n">
        <v>1</v>
      </c>
      <c r="I257" t="n">
        <v>194</v>
      </c>
      <c r="J257" t="n">
        <v>0.923482</v>
      </c>
      <c r="K257">
        <f>RANK(J257,$J$2:$J$601,1)</f>
        <v/>
      </c>
      <c r="L257">
        <f>IF(K257&lt;=60,1,0)</f>
        <v/>
      </c>
      <c r="M257">
        <f>IF(MOD(A257-7,10)=0,1,0)</f>
        <v/>
      </c>
      <c r="N257">
        <f>COUNTIFS($B$2:$B$601,B257,$J$2:$J$601,"&lt;"&amp;J257)+1</f>
        <v/>
      </c>
      <c r="O257">
        <f>ROUND(COUNTIF($B$2:$B$601,B257)/600*60,0)</f>
        <v/>
      </c>
      <c r="P257">
        <f>IF(N257&lt;=O257,1,0)</f>
        <v/>
      </c>
      <c r="Q257">
        <f>IF(OR(C257=4,C257=15,C257=27),1,0)</f>
        <v/>
      </c>
      <c r="R257">
        <f>IF(I257&lt;=60,1,0)</f>
        <v/>
      </c>
    </row>
    <row r="258">
      <c r="A258" t="n">
        <v>257</v>
      </c>
      <c r="B258" t="n">
        <v>2</v>
      </c>
      <c r="C258" t="n">
        <v>13</v>
      </c>
      <c r="D258" t="n">
        <v>2</v>
      </c>
      <c r="E258" t="n">
        <v>47</v>
      </c>
      <c r="F258" t="n">
        <v>1</v>
      </c>
      <c r="G258" t="n">
        <v>149</v>
      </c>
      <c r="H258" t="n">
        <v>1</v>
      </c>
      <c r="I258" t="n">
        <v>244</v>
      </c>
      <c r="J258" t="n">
        <v>0.6316889999999999</v>
      </c>
      <c r="K258">
        <f>RANK(J258,$J$2:$J$601,1)</f>
        <v/>
      </c>
      <c r="L258">
        <f>IF(K258&lt;=60,1,0)</f>
        <v/>
      </c>
      <c r="M258">
        <f>IF(MOD(A258-7,10)=0,1,0)</f>
        <v/>
      </c>
      <c r="N258">
        <f>COUNTIFS($B$2:$B$601,B258,$J$2:$J$601,"&lt;"&amp;J258)+1</f>
        <v/>
      </c>
      <c r="O258">
        <f>ROUND(COUNTIF($B$2:$B$601,B258)/600*60,0)</f>
        <v/>
      </c>
      <c r="P258">
        <f>IF(N258&lt;=O258,1,0)</f>
        <v/>
      </c>
      <c r="Q258">
        <f>IF(OR(C258=4,C258=15,C258=27),1,0)</f>
        <v/>
      </c>
      <c r="R258">
        <f>IF(I258&lt;=60,1,0)</f>
        <v/>
      </c>
    </row>
    <row r="259">
      <c r="A259" t="n">
        <v>258</v>
      </c>
      <c r="B259" t="n">
        <v>2</v>
      </c>
      <c r="C259" t="n">
        <v>13</v>
      </c>
      <c r="D259" t="n">
        <v>2</v>
      </c>
      <c r="E259" t="n">
        <v>49</v>
      </c>
      <c r="F259" t="n">
        <v>0</v>
      </c>
      <c r="G259" t="n">
        <v>129</v>
      </c>
      <c r="H259" t="n">
        <v>0</v>
      </c>
      <c r="I259" t="n">
        <v>260</v>
      </c>
      <c r="J259" t="n">
        <v>0.462895</v>
      </c>
      <c r="K259">
        <f>RANK(J259,$J$2:$J$601,1)</f>
        <v/>
      </c>
      <c r="L259">
        <f>IF(K259&lt;=60,1,0)</f>
        <v/>
      </c>
      <c r="M259">
        <f>IF(MOD(A259-7,10)=0,1,0)</f>
        <v/>
      </c>
      <c r="N259">
        <f>COUNTIFS($B$2:$B$601,B259,$J$2:$J$601,"&lt;"&amp;J259)+1</f>
        <v/>
      </c>
      <c r="O259">
        <f>ROUND(COUNTIF($B$2:$B$601,B259)/600*60,0)</f>
        <v/>
      </c>
      <c r="P259">
        <f>IF(N259&lt;=O259,1,0)</f>
        <v/>
      </c>
      <c r="Q259">
        <f>IF(OR(C259=4,C259=15,C259=27),1,0)</f>
        <v/>
      </c>
      <c r="R259">
        <f>IF(I259&lt;=60,1,0)</f>
        <v/>
      </c>
    </row>
    <row r="260">
      <c r="A260" t="n">
        <v>259</v>
      </c>
      <c r="B260" t="n">
        <v>2</v>
      </c>
      <c r="C260" t="n">
        <v>13</v>
      </c>
      <c r="D260" t="n">
        <v>1</v>
      </c>
      <c r="E260" t="n">
        <v>40</v>
      </c>
      <c r="F260" t="n">
        <v>0</v>
      </c>
      <c r="G260" t="n">
        <v>125</v>
      </c>
      <c r="H260" t="n">
        <v>0</v>
      </c>
      <c r="I260" t="n">
        <v>272</v>
      </c>
      <c r="J260" t="n">
        <v>0.460251</v>
      </c>
      <c r="K260">
        <f>RANK(J260,$J$2:$J$601,1)</f>
        <v/>
      </c>
      <c r="L260">
        <f>IF(K260&lt;=60,1,0)</f>
        <v/>
      </c>
      <c r="M260">
        <f>IF(MOD(A260-7,10)=0,1,0)</f>
        <v/>
      </c>
      <c r="N260">
        <f>COUNTIFS($B$2:$B$601,B260,$J$2:$J$601,"&lt;"&amp;J260)+1</f>
        <v/>
      </c>
      <c r="O260">
        <f>ROUND(COUNTIF($B$2:$B$601,B260)/600*60,0)</f>
        <v/>
      </c>
      <c r="P260">
        <f>IF(N260&lt;=O260,1,0)</f>
        <v/>
      </c>
      <c r="Q260">
        <f>IF(OR(C260=4,C260=15,C260=27),1,0)</f>
        <v/>
      </c>
      <c r="R260">
        <f>IF(I260&lt;=60,1,0)</f>
        <v/>
      </c>
    </row>
    <row r="261">
      <c r="A261" t="n">
        <v>260</v>
      </c>
      <c r="B261" t="n">
        <v>2</v>
      </c>
      <c r="C261" t="n">
        <v>13</v>
      </c>
      <c r="D261" t="n">
        <v>2</v>
      </c>
      <c r="E261" t="n">
        <v>78</v>
      </c>
      <c r="F261" t="n">
        <v>0</v>
      </c>
      <c r="G261" t="n">
        <v>156</v>
      </c>
      <c r="H261" t="n">
        <v>1</v>
      </c>
      <c r="I261" t="n">
        <v>22</v>
      </c>
      <c r="J261" t="n">
        <v>0.370162</v>
      </c>
      <c r="K261">
        <f>RANK(J261,$J$2:$J$601,1)</f>
        <v/>
      </c>
      <c r="L261">
        <f>IF(K261&lt;=60,1,0)</f>
        <v/>
      </c>
      <c r="M261">
        <f>IF(MOD(A261-7,10)=0,1,0)</f>
        <v/>
      </c>
      <c r="N261">
        <f>COUNTIFS($B$2:$B$601,B261,$J$2:$J$601,"&lt;"&amp;J261)+1</f>
        <v/>
      </c>
      <c r="O261">
        <f>ROUND(COUNTIF($B$2:$B$601,B261)/600*60,0)</f>
        <v/>
      </c>
      <c r="P261">
        <f>IF(N261&lt;=O261,1,0)</f>
        <v/>
      </c>
      <c r="Q261">
        <f>IF(OR(C261=4,C261=15,C261=27),1,0)</f>
        <v/>
      </c>
      <c r="R261">
        <f>IF(I261&lt;=60,1,0)</f>
        <v/>
      </c>
    </row>
    <row r="262">
      <c r="A262" t="n">
        <v>261</v>
      </c>
      <c r="B262" t="n">
        <v>2</v>
      </c>
      <c r="C262" t="n">
        <v>14</v>
      </c>
      <c r="D262" t="n">
        <v>2</v>
      </c>
      <c r="E262" t="n">
        <v>57</v>
      </c>
      <c r="F262" t="n">
        <v>1</v>
      </c>
      <c r="G262" t="n">
        <v>129</v>
      </c>
      <c r="H262" t="n">
        <v>0</v>
      </c>
      <c r="I262" t="n">
        <v>476</v>
      </c>
      <c r="J262" t="n">
        <v>0.587379</v>
      </c>
      <c r="K262">
        <f>RANK(J262,$J$2:$J$601,1)</f>
        <v/>
      </c>
      <c r="L262">
        <f>IF(K262&lt;=60,1,0)</f>
        <v/>
      </c>
      <c r="M262">
        <f>IF(MOD(A262-7,10)=0,1,0)</f>
        <v/>
      </c>
      <c r="N262">
        <f>COUNTIFS($B$2:$B$601,B262,$J$2:$J$601,"&lt;"&amp;J262)+1</f>
        <v/>
      </c>
      <c r="O262">
        <f>ROUND(COUNTIF($B$2:$B$601,B262)/600*60,0)</f>
        <v/>
      </c>
      <c r="P262">
        <f>IF(N262&lt;=O262,1,0)</f>
        <v/>
      </c>
      <c r="Q262">
        <f>IF(OR(C262=4,C262=15,C262=27),1,0)</f>
        <v/>
      </c>
      <c r="R262">
        <f>IF(I262&lt;=60,1,0)</f>
        <v/>
      </c>
    </row>
    <row r="263">
      <c r="A263" t="n">
        <v>262</v>
      </c>
      <c r="B263" t="n">
        <v>2</v>
      </c>
      <c r="C263" t="n">
        <v>14</v>
      </c>
      <c r="D263" t="n">
        <v>2</v>
      </c>
      <c r="E263" t="n">
        <v>40</v>
      </c>
      <c r="F263" t="n">
        <v>0</v>
      </c>
      <c r="G263" t="n">
        <v>138</v>
      </c>
      <c r="H263" t="n">
        <v>0</v>
      </c>
      <c r="I263" t="n">
        <v>582</v>
      </c>
      <c r="J263" t="n">
        <v>0.782237</v>
      </c>
      <c r="K263">
        <f>RANK(J263,$J$2:$J$601,1)</f>
        <v/>
      </c>
      <c r="L263">
        <f>IF(K263&lt;=60,1,0)</f>
        <v/>
      </c>
      <c r="M263">
        <f>IF(MOD(A263-7,10)=0,1,0)</f>
        <v/>
      </c>
      <c r="N263">
        <f>COUNTIFS($B$2:$B$601,B263,$J$2:$J$601,"&lt;"&amp;J263)+1</f>
        <v/>
      </c>
      <c r="O263">
        <f>ROUND(COUNTIF($B$2:$B$601,B263)/600*60,0)</f>
        <v/>
      </c>
      <c r="P263">
        <f>IF(N263&lt;=O263,1,0)</f>
        <v/>
      </c>
      <c r="Q263">
        <f>IF(OR(C263=4,C263=15,C263=27),1,0)</f>
        <v/>
      </c>
      <c r="R263">
        <f>IF(I263&lt;=60,1,0)</f>
        <v/>
      </c>
    </row>
    <row r="264">
      <c r="A264" t="n">
        <v>263</v>
      </c>
      <c r="B264" t="n">
        <v>2</v>
      </c>
      <c r="C264" t="n">
        <v>14</v>
      </c>
      <c r="D264" t="n">
        <v>1</v>
      </c>
      <c r="E264" t="n">
        <v>62</v>
      </c>
      <c r="F264" t="n">
        <v>0</v>
      </c>
      <c r="G264" t="n">
        <v>143</v>
      </c>
      <c r="H264" t="n">
        <v>1</v>
      </c>
      <c r="I264" t="n">
        <v>163</v>
      </c>
      <c r="J264" t="n">
        <v>0.219896</v>
      </c>
      <c r="K264">
        <f>RANK(J264,$J$2:$J$601,1)</f>
        <v/>
      </c>
      <c r="L264">
        <f>IF(K264&lt;=60,1,0)</f>
        <v/>
      </c>
      <c r="M264">
        <f>IF(MOD(A264-7,10)=0,1,0)</f>
        <v/>
      </c>
      <c r="N264">
        <f>COUNTIFS($B$2:$B$601,B264,$J$2:$J$601,"&lt;"&amp;J264)+1</f>
        <v/>
      </c>
      <c r="O264">
        <f>ROUND(COUNTIF($B$2:$B$601,B264)/600*60,0)</f>
        <v/>
      </c>
      <c r="P264">
        <f>IF(N264&lt;=O264,1,0)</f>
        <v/>
      </c>
      <c r="Q264">
        <f>IF(OR(C264=4,C264=15,C264=27),1,0)</f>
        <v/>
      </c>
      <c r="R264">
        <f>IF(I264&lt;=60,1,0)</f>
        <v/>
      </c>
    </row>
    <row r="265">
      <c r="A265" t="n">
        <v>264</v>
      </c>
      <c r="B265" t="n">
        <v>2</v>
      </c>
      <c r="C265" t="n">
        <v>14</v>
      </c>
      <c r="D265" t="n">
        <v>1</v>
      </c>
      <c r="E265" t="n">
        <v>74</v>
      </c>
      <c r="F265" t="n">
        <v>0</v>
      </c>
      <c r="G265" t="n">
        <v>129</v>
      </c>
      <c r="H265" t="n">
        <v>0</v>
      </c>
      <c r="I265" t="n">
        <v>241</v>
      </c>
      <c r="J265" t="n">
        <v>0.154974</v>
      </c>
      <c r="K265">
        <f>RANK(J265,$J$2:$J$601,1)</f>
        <v/>
      </c>
      <c r="L265">
        <f>IF(K265&lt;=60,1,0)</f>
        <v/>
      </c>
      <c r="M265">
        <f>IF(MOD(A265-7,10)=0,1,0)</f>
        <v/>
      </c>
      <c r="N265">
        <f>COUNTIFS($B$2:$B$601,B265,$J$2:$J$601,"&lt;"&amp;J265)+1</f>
        <v/>
      </c>
      <c r="O265">
        <f>ROUND(COUNTIF($B$2:$B$601,B265)/600*60,0)</f>
        <v/>
      </c>
      <c r="P265">
        <f>IF(N265&lt;=O265,1,0)</f>
        <v/>
      </c>
      <c r="Q265">
        <f>IF(OR(C265=4,C265=15,C265=27),1,0)</f>
        <v/>
      </c>
      <c r="R265">
        <f>IF(I265&lt;=60,1,0)</f>
        <v/>
      </c>
    </row>
    <row r="266">
      <c r="A266" t="n">
        <v>265</v>
      </c>
      <c r="B266" t="n">
        <v>2</v>
      </c>
      <c r="C266" t="n">
        <v>14</v>
      </c>
      <c r="D266" t="n">
        <v>2</v>
      </c>
      <c r="E266" t="n">
        <v>34</v>
      </c>
      <c r="F266" t="n">
        <v>0</v>
      </c>
      <c r="G266" t="n">
        <v>109</v>
      </c>
      <c r="H266" t="n">
        <v>0</v>
      </c>
      <c r="I266" t="n">
        <v>351</v>
      </c>
      <c r="J266" t="n">
        <v>0.938955</v>
      </c>
      <c r="K266">
        <f>RANK(J266,$J$2:$J$601,1)</f>
        <v/>
      </c>
      <c r="L266">
        <f>IF(K266&lt;=60,1,0)</f>
        <v/>
      </c>
      <c r="M266">
        <f>IF(MOD(A266-7,10)=0,1,0)</f>
        <v/>
      </c>
      <c r="N266">
        <f>COUNTIFS($B$2:$B$601,B266,$J$2:$J$601,"&lt;"&amp;J266)+1</f>
        <v/>
      </c>
      <c r="O266">
        <f>ROUND(COUNTIF($B$2:$B$601,B266)/600*60,0)</f>
        <v/>
      </c>
      <c r="P266">
        <f>IF(N266&lt;=O266,1,0)</f>
        <v/>
      </c>
      <c r="Q266">
        <f>IF(OR(C266=4,C266=15,C266=27),1,0)</f>
        <v/>
      </c>
      <c r="R266">
        <f>IF(I266&lt;=60,1,0)</f>
        <v/>
      </c>
    </row>
    <row r="267">
      <c r="A267" t="n">
        <v>266</v>
      </c>
      <c r="B267" t="n">
        <v>2</v>
      </c>
      <c r="C267" t="n">
        <v>14</v>
      </c>
      <c r="D267" t="n">
        <v>2</v>
      </c>
      <c r="E267" t="n">
        <v>36</v>
      </c>
      <c r="F267" t="n">
        <v>1</v>
      </c>
      <c r="G267" t="n">
        <v>111</v>
      </c>
      <c r="H267" t="n">
        <v>0</v>
      </c>
      <c r="I267" t="n">
        <v>440</v>
      </c>
      <c r="J267" t="n">
        <v>0.852799</v>
      </c>
      <c r="K267">
        <f>RANK(J267,$J$2:$J$601,1)</f>
        <v/>
      </c>
      <c r="L267">
        <f>IF(K267&lt;=60,1,0)</f>
        <v/>
      </c>
      <c r="M267">
        <f>IF(MOD(A267-7,10)=0,1,0)</f>
        <v/>
      </c>
      <c r="N267">
        <f>COUNTIFS($B$2:$B$601,B267,$J$2:$J$601,"&lt;"&amp;J267)+1</f>
        <v/>
      </c>
      <c r="O267">
        <f>ROUND(COUNTIF($B$2:$B$601,B267)/600*60,0)</f>
        <v/>
      </c>
      <c r="P267">
        <f>IF(N267&lt;=O267,1,0)</f>
        <v/>
      </c>
      <c r="Q267">
        <f>IF(OR(C267=4,C267=15,C267=27),1,0)</f>
        <v/>
      </c>
      <c r="R267">
        <f>IF(I267&lt;=60,1,0)</f>
        <v/>
      </c>
    </row>
    <row r="268">
      <c r="A268" t="n">
        <v>267</v>
      </c>
      <c r="B268" t="n">
        <v>2</v>
      </c>
      <c r="C268" t="n">
        <v>14</v>
      </c>
      <c r="D268" t="n">
        <v>1</v>
      </c>
      <c r="E268" t="n">
        <v>53</v>
      </c>
      <c r="F268" t="n">
        <v>1</v>
      </c>
      <c r="G268" t="n">
        <v>137</v>
      </c>
      <c r="H268" t="n">
        <v>0</v>
      </c>
      <c r="I268" t="n">
        <v>479</v>
      </c>
      <c r="J268" t="n">
        <v>0.026861</v>
      </c>
      <c r="K268">
        <f>RANK(J268,$J$2:$J$601,1)</f>
        <v/>
      </c>
      <c r="L268">
        <f>IF(K268&lt;=60,1,0)</f>
        <v/>
      </c>
      <c r="M268">
        <f>IF(MOD(A268-7,10)=0,1,0)</f>
        <v/>
      </c>
      <c r="N268">
        <f>COUNTIFS($B$2:$B$601,B268,$J$2:$J$601,"&lt;"&amp;J268)+1</f>
        <v/>
      </c>
      <c r="O268">
        <f>ROUND(COUNTIF($B$2:$B$601,B268)/600*60,0)</f>
        <v/>
      </c>
      <c r="P268">
        <f>IF(N268&lt;=O268,1,0)</f>
        <v/>
      </c>
      <c r="Q268">
        <f>IF(OR(C268=4,C268=15,C268=27),1,0)</f>
        <v/>
      </c>
      <c r="R268">
        <f>IF(I268&lt;=60,1,0)</f>
        <v/>
      </c>
    </row>
    <row r="269">
      <c r="A269" t="n">
        <v>268</v>
      </c>
      <c r="B269" t="n">
        <v>2</v>
      </c>
      <c r="C269" t="n">
        <v>14</v>
      </c>
      <c r="D269" t="n">
        <v>1</v>
      </c>
      <c r="E269" t="n">
        <v>48</v>
      </c>
      <c r="F269" t="n">
        <v>0</v>
      </c>
      <c r="G269" t="n">
        <v>159</v>
      </c>
      <c r="H269" t="n">
        <v>1</v>
      </c>
      <c r="I269" t="n">
        <v>89</v>
      </c>
      <c r="J269" t="n">
        <v>0.292588</v>
      </c>
      <c r="K269">
        <f>RANK(J269,$J$2:$J$601,1)</f>
        <v/>
      </c>
      <c r="L269">
        <f>IF(K269&lt;=60,1,0)</f>
        <v/>
      </c>
      <c r="M269">
        <f>IF(MOD(A269-7,10)=0,1,0)</f>
        <v/>
      </c>
      <c r="N269">
        <f>COUNTIFS($B$2:$B$601,B269,$J$2:$J$601,"&lt;"&amp;J269)+1</f>
        <v/>
      </c>
      <c r="O269">
        <f>ROUND(COUNTIF($B$2:$B$601,B269)/600*60,0)</f>
        <v/>
      </c>
      <c r="P269">
        <f>IF(N269&lt;=O269,1,0)</f>
        <v/>
      </c>
      <c r="Q269">
        <f>IF(OR(C269=4,C269=15,C269=27),1,0)</f>
        <v/>
      </c>
      <c r="R269">
        <f>IF(I269&lt;=60,1,0)</f>
        <v/>
      </c>
    </row>
    <row r="270">
      <c r="A270" t="n">
        <v>269</v>
      </c>
      <c r="B270" t="n">
        <v>2</v>
      </c>
      <c r="C270" t="n">
        <v>14</v>
      </c>
      <c r="D270" t="n">
        <v>1</v>
      </c>
      <c r="E270" t="n">
        <v>53</v>
      </c>
      <c r="F270" t="n">
        <v>1</v>
      </c>
      <c r="G270" t="n">
        <v>120</v>
      </c>
      <c r="H270" t="n">
        <v>0</v>
      </c>
      <c r="I270" t="n">
        <v>576</v>
      </c>
      <c r="J270" t="n">
        <v>0.25763</v>
      </c>
      <c r="K270">
        <f>RANK(J270,$J$2:$J$601,1)</f>
        <v/>
      </c>
      <c r="L270">
        <f>IF(K270&lt;=60,1,0)</f>
        <v/>
      </c>
      <c r="M270">
        <f>IF(MOD(A270-7,10)=0,1,0)</f>
        <v/>
      </c>
      <c r="N270">
        <f>COUNTIFS($B$2:$B$601,B270,$J$2:$J$601,"&lt;"&amp;J270)+1</f>
        <v/>
      </c>
      <c r="O270">
        <f>ROUND(COUNTIF($B$2:$B$601,B270)/600*60,0)</f>
        <v/>
      </c>
      <c r="P270">
        <f>IF(N270&lt;=O270,1,0)</f>
        <v/>
      </c>
      <c r="Q270">
        <f>IF(OR(C270=4,C270=15,C270=27),1,0)</f>
        <v/>
      </c>
      <c r="R270">
        <f>IF(I270&lt;=60,1,0)</f>
        <v/>
      </c>
    </row>
    <row r="271">
      <c r="A271" t="n">
        <v>270</v>
      </c>
      <c r="B271" t="n">
        <v>2</v>
      </c>
      <c r="C271" t="n">
        <v>14</v>
      </c>
      <c r="D271" t="n">
        <v>1</v>
      </c>
      <c r="E271" t="n">
        <v>55</v>
      </c>
      <c r="F271" t="n">
        <v>0</v>
      </c>
      <c r="G271" t="n">
        <v>129</v>
      </c>
      <c r="H271" t="n">
        <v>0</v>
      </c>
      <c r="I271" t="n">
        <v>443</v>
      </c>
      <c r="J271" t="n">
        <v>0.720289</v>
      </c>
      <c r="K271">
        <f>RANK(J271,$J$2:$J$601,1)</f>
        <v/>
      </c>
      <c r="L271">
        <f>IF(K271&lt;=60,1,0)</f>
        <v/>
      </c>
      <c r="M271">
        <f>IF(MOD(A271-7,10)=0,1,0)</f>
        <v/>
      </c>
      <c r="N271">
        <f>COUNTIFS($B$2:$B$601,B271,$J$2:$J$601,"&lt;"&amp;J271)+1</f>
        <v/>
      </c>
      <c r="O271">
        <f>ROUND(COUNTIF($B$2:$B$601,B271)/600*60,0)</f>
        <v/>
      </c>
      <c r="P271">
        <f>IF(N271&lt;=O271,1,0)</f>
        <v/>
      </c>
      <c r="Q271">
        <f>IF(OR(C271=4,C271=15,C271=27),1,0)</f>
        <v/>
      </c>
      <c r="R271">
        <f>IF(I271&lt;=60,1,0)</f>
        <v/>
      </c>
    </row>
    <row r="272">
      <c r="A272" t="n">
        <v>271</v>
      </c>
      <c r="B272" t="n">
        <v>2</v>
      </c>
      <c r="C272" t="n">
        <v>14</v>
      </c>
      <c r="D272" t="n">
        <v>2</v>
      </c>
      <c r="E272" t="n">
        <v>39</v>
      </c>
      <c r="F272" t="n">
        <v>1</v>
      </c>
      <c r="G272" t="n">
        <v>120</v>
      </c>
      <c r="H272" t="n">
        <v>0</v>
      </c>
      <c r="I272" t="n">
        <v>573</v>
      </c>
      <c r="J272" t="n">
        <v>0.754614</v>
      </c>
      <c r="K272">
        <f>RANK(J272,$J$2:$J$601,1)</f>
        <v/>
      </c>
      <c r="L272">
        <f>IF(K272&lt;=60,1,0)</f>
        <v/>
      </c>
      <c r="M272">
        <f>IF(MOD(A272-7,10)=0,1,0)</f>
        <v/>
      </c>
      <c r="N272">
        <f>COUNTIFS($B$2:$B$601,B272,$J$2:$J$601,"&lt;"&amp;J272)+1</f>
        <v/>
      </c>
      <c r="O272">
        <f>ROUND(COUNTIF($B$2:$B$601,B272)/600*60,0)</f>
        <v/>
      </c>
      <c r="P272">
        <f>IF(N272&lt;=O272,1,0)</f>
        <v/>
      </c>
      <c r="Q272">
        <f>IF(OR(C272=4,C272=15,C272=27),1,0)</f>
        <v/>
      </c>
      <c r="R272">
        <f>IF(I272&lt;=60,1,0)</f>
        <v/>
      </c>
    </row>
    <row r="273">
      <c r="A273" t="n">
        <v>272</v>
      </c>
      <c r="B273" t="n">
        <v>2</v>
      </c>
      <c r="C273" t="n">
        <v>14</v>
      </c>
      <c r="D273" t="n">
        <v>1</v>
      </c>
      <c r="E273" t="n">
        <v>69</v>
      </c>
      <c r="F273" t="n">
        <v>0</v>
      </c>
      <c r="G273" t="n">
        <v>151</v>
      </c>
      <c r="H273" t="n">
        <v>1</v>
      </c>
      <c r="I273" t="n">
        <v>113</v>
      </c>
      <c r="J273" t="n">
        <v>0.255944</v>
      </c>
      <c r="K273">
        <f>RANK(J273,$J$2:$J$601,1)</f>
        <v/>
      </c>
      <c r="L273">
        <f>IF(K273&lt;=60,1,0)</f>
        <v/>
      </c>
      <c r="M273">
        <f>IF(MOD(A273-7,10)=0,1,0)</f>
        <v/>
      </c>
      <c r="N273">
        <f>COUNTIFS($B$2:$B$601,B273,$J$2:$J$601,"&lt;"&amp;J273)+1</f>
        <v/>
      </c>
      <c r="O273">
        <f>ROUND(COUNTIF($B$2:$B$601,B273)/600*60,0)</f>
        <v/>
      </c>
      <c r="P273">
        <f>IF(N273&lt;=O273,1,0)</f>
        <v/>
      </c>
      <c r="Q273">
        <f>IF(OR(C273=4,C273=15,C273=27),1,0)</f>
        <v/>
      </c>
      <c r="R273">
        <f>IF(I273&lt;=60,1,0)</f>
        <v/>
      </c>
    </row>
    <row r="274">
      <c r="A274" t="n">
        <v>273</v>
      </c>
      <c r="B274" t="n">
        <v>2</v>
      </c>
      <c r="C274" t="n">
        <v>14</v>
      </c>
      <c r="D274" t="n">
        <v>2</v>
      </c>
      <c r="E274" t="n">
        <v>65</v>
      </c>
      <c r="F274" t="n">
        <v>0</v>
      </c>
      <c r="G274" t="n">
        <v>129</v>
      </c>
      <c r="H274" t="n">
        <v>0</v>
      </c>
      <c r="I274" t="n">
        <v>432</v>
      </c>
      <c r="J274" t="n">
        <v>0.007385</v>
      </c>
      <c r="K274">
        <f>RANK(J274,$J$2:$J$601,1)</f>
        <v/>
      </c>
      <c r="L274">
        <f>IF(K274&lt;=60,1,0)</f>
        <v/>
      </c>
      <c r="M274">
        <f>IF(MOD(A274-7,10)=0,1,0)</f>
        <v/>
      </c>
      <c r="N274">
        <f>COUNTIFS($B$2:$B$601,B274,$J$2:$J$601,"&lt;"&amp;J274)+1</f>
        <v/>
      </c>
      <c r="O274">
        <f>ROUND(COUNTIF($B$2:$B$601,B274)/600*60,0)</f>
        <v/>
      </c>
      <c r="P274">
        <f>IF(N274&lt;=O274,1,0)</f>
        <v/>
      </c>
      <c r="Q274">
        <f>IF(OR(C274=4,C274=15,C274=27),1,0)</f>
        <v/>
      </c>
      <c r="R274">
        <f>IF(I274&lt;=60,1,0)</f>
        <v/>
      </c>
    </row>
    <row r="275">
      <c r="A275" t="n">
        <v>274</v>
      </c>
      <c r="B275" t="n">
        <v>2</v>
      </c>
      <c r="C275" t="n">
        <v>14</v>
      </c>
      <c r="D275" t="n">
        <v>1</v>
      </c>
      <c r="E275" t="n">
        <v>71</v>
      </c>
      <c r="F275" t="n">
        <v>0</v>
      </c>
      <c r="G275" t="n">
        <v>99</v>
      </c>
      <c r="H275" t="n">
        <v>0</v>
      </c>
      <c r="I275" t="n">
        <v>295</v>
      </c>
      <c r="J275" t="n">
        <v>0.330889</v>
      </c>
      <c r="K275">
        <f>RANK(J275,$J$2:$J$601,1)</f>
        <v/>
      </c>
      <c r="L275">
        <f>IF(K275&lt;=60,1,0)</f>
        <v/>
      </c>
      <c r="M275">
        <f>IF(MOD(A275-7,10)=0,1,0)</f>
        <v/>
      </c>
      <c r="N275">
        <f>COUNTIFS($B$2:$B$601,B275,$J$2:$J$601,"&lt;"&amp;J275)+1</f>
        <v/>
      </c>
      <c r="O275">
        <f>ROUND(COUNTIF($B$2:$B$601,B275)/600*60,0)</f>
        <v/>
      </c>
      <c r="P275">
        <f>IF(N275&lt;=O275,1,0)</f>
        <v/>
      </c>
      <c r="Q275">
        <f>IF(OR(C275=4,C275=15,C275=27),1,0)</f>
        <v/>
      </c>
      <c r="R275">
        <f>IF(I275&lt;=60,1,0)</f>
        <v/>
      </c>
    </row>
    <row r="276">
      <c r="A276" t="n">
        <v>275</v>
      </c>
      <c r="B276" t="n">
        <v>2</v>
      </c>
      <c r="C276" t="n">
        <v>14</v>
      </c>
      <c r="D276" t="n">
        <v>1</v>
      </c>
      <c r="E276" t="n">
        <v>57</v>
      </c>
      <c r="F276" t="n">
        <v>0</v>
      </c>
      <c r="G276" t="n">
        <v>126</v>
      </c>
      <c r="H276" t="n">
        <v>0</v>
      </c>
      <c r="I276" t="n">
        <v>252</v>
      </c>
      <c r="J276" t="n">
        <v>0.532736</v>
      </c>
      <c r="K276">
        <f>RANK(J276,$J$2:$J$601,1)</f>
        <v/>
      </c>
      <c r="L276">
        <f>IF(K276&lt;=60,1,0)</f>
        <v/>
      </c>
      <c r="M276">
        <f>IF(MOD(A276-7,10)=0,1,0)</f>
        <v/>
      </c>
      <c r="N276">
        <f>COUNTIFS($B$2:$B$601,B276,$J$2:$J$601,"&lt;"&amp;J276)+1</f>
        <v/>
      </c>
      <c r="O276">
        <f>ROUND(COUNTIF($B$2:$B$601,B276)/600*60,0)</f>
        <v/>
      </c>
      <c r="P276">
        <f>IF(N276&lt;=O276,1,0)</f>
        <v/>
      </c>
      <c r="Q276">
        <f>IF(OR(C276=4,C276=15,C276=27),1,0)</f>
        <v/>
      </c>
      <c r="R276">
        <f>IF(I276&lt;=60,1,0)</f>
        <v/>
      </c>
    </row>
    <row r="277">
      <c r="A277" t="n">
        <v>276</v>
      </c>
      <c r="B277" t="n">
        <v>2</v>
      </c>
      <c r="C277" t="n">
        <v>14</v>
      </c>
      <c r="D277" t="n">
        <v>1</v>
      </c>
      <c r="E277" t="n">
        <v>79</v>
      </c>
      <c r="F277" t="n">
        <v>0</v>
      </c>
      <c r="G277" t="n">
        <v>163</v>
      </c>
      <c r="H277" t="n">
        <v>1</v>
      </c>
      <c r="I277" t="n">
        <v>15</v>
      </c>
      <c r="J277" t="n">
        <v>0.108362</v>
      </c>
      <c r="K277">
        <f>RANK(J277,$J$2:$J$601,1)</f>
        <v/>
      </c>
      <c r="L277">
        <f>IF(K277&lt;=60,1,0)</f>
        <v/>
      </c>
      <c r="M277">
        <f>IF(MOD(A277-7,10)=0,1,0)</f>
        <v/>
      </c>
      <c r="N277">
        <f>COUNTIFS($B$2:$B$601,B277,$J$2:$J$601,"&lt;"&amp;J277)+1</f>
        <v/>
      </c>
      <c r="O277">
        <f>ROUND(COUNTIF($B$2:$B$601,B277)/600*60,0)</f>
        <v/>
      </c>
      <c r="P277">
        <f>IF(N277&lt;=O277,1,0)</f>
        <v/>
      </c>
      <c r="Q277">
        <f>IF(OR(C277=4,C277=15,C277=27),1,0)</f>
        <v/>
      </c>
      <c r="R277">
        <f>IF(I277&lt;=60,1,0)</f>
        <v/>
      </c>
    </row>
    <row r="278">
      <c r="A278" t="n">
        <v>277</v>
      </c>
      <c r="B278" t="n">
        <v>2</v>
      </c>
      <c r="C278" t="n">
        <v>14</v>
      </c>
      <c r="D278" t="n">
        <v>1</v>
      </c>
      <c r="E278" t="n">
        <v>66</v>
      </c>
      <c r="F278" t="n">
        <v>0</v>
      </c>
      <c r="G278" t="n">
        <v>140</v>
      </c>
      <c r="H278" t="n">
        <v>1</v>
      </c>
      <c r="I278" t="n">
        <v>25</v>
      </c>
      <c r="J278" t="n">
        <v>0.700152</v>
      </c>
      <c r="K278">
        <f>RANK(J278,$J$2:$J$601,1)</f>
        <v/>
      </c>
      <c r="L278">
        <f>IF(K278&lt;=60,1,0)</f>
        <v/>
      </c>
      <c r="M278">
        <f>IF(MOD(A278-7,10)=0,1,0)</f>
        <v/>
      </c>
      <c r="N278">
        <f>COUNTIFS($B$2:$B$601,B278,$J$2:$J$601,"&lt;"&amp;J278)+1</f>
        <v/>
      </c>
      <c r="O278">
        <f>ROUND(COUNTIF($B$2:$B$601,B278)/600*60,0)</f>
        <v/>
      </c>
      <c r="P278">
        <f>IF(N278&lt;=O278,1,0)</f>
        <v/>
      </c>
      <c r="Q278">
        <f>IF(OR(C278=4,C278=15,C278=27),1,0)</f>
        <v/>
      </c>
      <c r="R278">
        <f>IF(I278&lt;=60,1,0)</f>
        <v/>
      </c>
    </row>
    <row r="279">
      <c r="A279" t="n">
        <v>278</v>
      </c>
      <c r="B279" t="n">
        <v>2</v>
      </c>
      <c r="C279" t="n">
        <v>14</v>
      </c>
      <c r="D279" t="n">
        <v>2</v>
      </c>
      <c r="E279" t="n">
        <v>46</v>
      </c>
      <c r="F279" t="n">
        <v>1</v>
      </c>
      <c r="G279" t="n">
        <v>121</v>
      </c>
      <c r="H279" t="n">
        <v>0</v>
      </c>
      <c r="I279" t="n">
        <v>523</v>
      </c>
      <c r="J279" t="n">
        <v>0.058518</v>
      </c>
      <c r="K279">
        <f>RANK(J279,$J$2:$J$601,1)</f>
        <v/>
      </c>
      <c r="L279">
        <f>IF(K279&lt;=60,1,0)</f>
        <v/>
      </c>
      <c r="M279">
        <f>IF(MOD(A279-7,10)=0,1,0)</f>
        <v/>
      </c>
      <c r="N279">
        <f>COUNTIFS($B$2:$B$601,B279,$J$2:$J$601,"&lt;"&amp;J279)+1</f>
        <v/>
      </c>
      <c r="O279">
        <f>ROUND(COUNTIF($B$2:$B$601,B279)/600*60,0)</f>
        <v/>
      </c>
      <c r="P279">
        <f>IF(N279&lt;=O279,1,0)</f>
        <v/>
      </c>
      <c r="Q279">
        <f>IF(OR(C279=4,C279=15,C279=27),1,0)</f>
        <v/>
      </c>
      <c r="R279">
        <f>IF(I279&lt;=60,1,0)</f>
        <v/>
      </c>
    </row>
    <row r="280">
      <c r="A280" t="n">
        <v>279</v>
      </c>
      <c r="B280" t="n">
        <v>2</v>
      </c>
      <c r="C280" t="n">
        <v>14</v>
      </c>
      <c r="D280" t="n">
        <v>1</v>
      </c>
      <c r="E280" t="n">
        <v>69</v>
      </c>
      <c r="F280" t="n">
        <v>0</v>
      </c>
      <c r="G280" t="n">
        <v>146</v>
      </c>
      <c r="H280" t="n">
        <v>1</v>
      </c>
      <c r="I280" t="n">
        <v>238</v>
      </c>
      <c r="J280" t="n">
        <v>0.015338</v>
      </c>
      <c r="K280">
        <f>RANK(J280,$J$2:$J$601,1)</f>
        <v/>
      </c>
      <c r="L280">
        <f>IF(K280&lt;=60,1,0)</f>
        <v/>
      </c>
      <c r="M280">
        <f>IF(MOD(A280-7,10)=0,1,0)</f>
        <v/>
      </c>
      <c r="N280">
        <f>COUNTIFS($B$2:$B$601,B280,$J$2:$J$601,"&lt;"&amp;J280)+1</f>
        <v/>
      </c>
      <c r="O280">
        <f>ROUND(COUNTIF($B$2:$B$601,B280)/600*60,0)</f>
        <v/>
      </c>
      <c r="P280">
        <f>IF(N280&lt;=O280,1,0)</f>
        <v/>
      </c>
      <c r="Q280">
        <f>IF(OR(C280=4,C280=15,C280=27),1,0)</f>
        <v/>
      </c>
      <c r="R280">
        <f>IF(I280&lt;=60,1,0)</f>
        <v/>
      </c>
    </row>
    <row r="281">
      <c r="A281" t="n">
        <v>280</v>
      </c>
      <c r="B281" t="n">
        <v>2</v>
      </c>
      <c r="C281" t="n">
        <v>14</v>
      </c>
      <c r="D281" t="n">
        <v>1</v>
      </c>
      <c r="E281" t="n">
        <v>47</v>
      </c>
      <c r="F281" t="n">
        <v>0</v>
      </c>
      <c r="G281" t="n">
        <v>131</v>
      </c>
      <c r="H281" t="n">
        <v>0</v>
      </c>
      <c r="I281" t="n">
        <v>110</v>
      </c>
      <c r="J281" t="n">
        <v>0.382926</v>
      </c>
      <c r="K281">
        <f>RANK(J281,$J$2:$J$601,1)</f>
        <v/>
      </c>
      <c r="L281">
        <f>IF(K281&lt;=60,1,0)</f>
        <v/>
      </c>
      <c r="M281">
        <f>IF(MOD(A281-7,10)=0,1,0)</f>
        <v/>
      </c>
      <c r="N281">
        <f>COUNTIFS($B$2:$B$601,B281,$J$2:$J$601,"&lt;"&amp;J281)+1</f>
        <v/>
      </c>
      <c r="O281">
        <f>ROUND(COUNTIF($B$2:$B$601,B281)/600*60,0)</f>
        <v/>
      </c>
      <c r="P281">
        <f>IF(N281&lt;=O281,1,0)</f>
        <v/>
      </c>
      <c r="Q281">
        <f>IF(OR(C281=4,C281=15,C281=27),1,0)</f>
        <v/>
      </c>
      <c r="R281">
        <f>IF(I281&lt;=60,1,0)</f>
        <v/>
      </c>
    </row>
    <row r="282">
      <c r="A282" t="n">
        <v>281</v>
      </c>
      <c r="B282" t="n">
        <v>2</v>
      </c>
      <c r="C282" t="n">
        <v>15</v>
      </c>
      <c r="D282" t="n">
        <v>1</v>
      </c>
      <c r="E282" t="n">
        <v>35</v>
      </c>
      <c r="F282" t="n">
        <v>1</v>
      </c>
      <c r="G282" t="n">
        <v>120</v>
      </c>
      <c r="H282" t="n">
        <v>0</v>
      </c>
      <c r="I282" t="n">
        <v>323</v>
      </c>
      <c r="J282" t="n">
        <v>0.033862</v>
      </c>
      <c r="K282">
        <f>RANK(J282,$J$2:$J$601,1)</f>
        <v/>
      </c>
      <c r="L282">
        <f>IF(K282&lt;=60,1,0)</f>
        <v/>
      </c>
      <c r="M282">
        <f>IF(MOD(A282-7,10)=0,1,0)</f>
        <v/>
      </c>
      <c r="N282">
        <f>COUNTIFS($B$2:$B$601,B282,$J$2:$J$601,"&lt;"&amp;J282)+1</f>
        <v/>
      </c>
      <c r="O282">
        <f>ROUND(COUNTIF($B$2:$B$601,B282)/600*60,0)</f>
        <v/>
      </c>
      <c r="P282">
        <f>IF(N282&lt;=O282,1,0)</f>
        <v/>
      </c>
      <c r="Q282">
        <f>IF(OR(C282=4,C282=15,C282=27),1,0)</f>
        <v/>
      </c>
      <c r="R282">
        <f>IF(I282&lt;=60,1,0)</f>
        <v/>
      </c>
    </row>
    <row r="283">
      <c r="A283" t="n">
        <v>282</v>
      </c>
      <c r="B283" t="n">
        <v>2</v>
      </c>
      <c r="C283" t="n">
        <v>15</v>
      </c>
      <c r="D283" t="n">
        <v>2</v>
      </c>
      <c r="E283" t="n">
        <v>63</v>
      </c>
      <c r="F283" t="n">
        <v>0</v>
      </c>
      <c r="G283" t="n">
        <v>135</v>
      </c>
      <c r="H283" t="n">
        <v>0</v>
      </c>
      <c r="I283" t="n">
        <v>180</v>
      </c>
      <c r="J283" t="n">
        <v>0.807413</v>
      </c>
      <c r="K283">
        <f>RANK(J283,$J$2:$J$601,1)</f>
        <v/>
      </c>
      <c r="L283">
        <f>IF(K283&lt;=60,1,0)</f>
        <v/>
      </c>
      <c r="M283">
        <f>IF(MOD(A283-7,10)=0,1,0)</f>
        <v/>
      </c>
      <c r="N283">
        <f>COUNTIFS($B$2:$B$601,B283,$J$2:$J$601,"&lt;"&amp;J283)+1</f>
        <v/>
      </c>
      <c r="O283">
        <f>ROUND(COUNTIF($B$2:$B$601,B283)/600*60,0)</f>
        <v/>
      </c>
      <c r="P283">
        <f>IF(N283&lt;=O283,1,0)</f>
        <v/>
      </c>
      <c r="Q283">
        <f>IF(OR(C283=4,C283=15,C283=27),1,0)</f>
        <v/>
      </c>
      <c r="R283">
        <f>IF(I283&lt;=60,1,0)</f>
        <v/>
      </c>
    </row>
    <row r="284">
      <c r="A284" t="n">
        <v>283</v>
      </c>
      <c r="B284" t="n">
        <v>2</v>
      </c>
      <c r="C284" t="n">
        <v>15</v>
      </c>
      <c r="D284" t="n">
        <v>2</v>
      </c>
      <c r="E284" t="n">
        <v>37</v>
      </c>
      <c r="F284" t="n">
        <v>0</v>
      </c>
      <c r="G284" t="n">
        <v>127</v>
      </c>
      <c r="H284" t="n">
        <v>0</v>
      </c>
      <c r="I284" t="n">
        <v>333</v>
      </c>
      <c r="J284" t="n">
        <v>0.774185</v>
      </c>
      <c r="K284">
        <f>RANK(J284,$J$2:$J$601,1)</f>
        <v/>
      </c>
      <c r="L284">
        <f>IF(K284&lt;=60,1,0)</f>
        <v/>
      </c>
      <c r="M284">
        <f>IF(MOD(A284-7,10)=0,1,0)</f>
        <v/>
      </c>
      <c r="N284">
        <f>COUNTIFS($B$2:$B$601,B284,$J$2:$J$601,"&lt;"&amp;J284)+1</f>
        <v/>
      </c>
      <c r="O284">
        <f>ROUND(COUNTIF($B$2:$B$601,B284)/600*60,0)</f>
        <v/>
      </c>
      <c r="P284">
        <f>IF(N284&lt;=O284,1,0)</f>
        <v/>
      </c>
      <c r="Q284">
        <f>IF(OR(C284=4,C284=15,C284=27),1,0)</f>
        <v/>
      </c>
      <c r="R284">
        <f>IF(I284&lt;=60,1,0)</f>
        <v/>
      </c>
    </row>
    <row r="285">
      <c r="A285" t="n">
        <v>284</v>
      </c>
      <c r="B285" t="n">
        <v>2</v>
      </c>
      <c r="C285" t="n">
        <v>15</v>
      </c>
      <c r="D285" t="n">
        <v>1</v>
      </c>
      <c r="E285" t="n">
        <v>55</v>
      </c>
      <c r="F285" t="n">
        <v>0</v>
      </c>
      <c r="G285" t="n">
        <v>131</v>
      </c>
      <c r="H285" t="n">
        <v>0</v>
      </c>
      <c r="I285" t="n">
        <v>245</v>
      </c>
      <c r="J285" t="n">
        <v>0.526895</v>
      </c>
      <c r="K285">
        <f>RANK(J285,$J$2:$J$601,1)</f>
        <v/>
      </c>
      <c r="L285">
        <f>IF(K285&lt;=60,1,0)</f>
        <v/>
      </c>
      <c r="M285">
        <f>IF(MOD(A285-7,10)=0,1,0)</f>
        <v/>
      </c>
      <c r="N285">
        <f>COUNTIFS($B$2:$B$601,B285,$J$2:$J$601,"&lt;"&amp;J285)+1</f>
        <v/>
      </c>
      <c r="O285">
        <f>ROUND(COUNTIF($B$2:$B$601,B285)/600*60,0)</f>
        <v/>
      </c>
      <c r="P285">
        <f>IF(N285&lt;=O285,1,0)</f>
        <v/>
      </c>
      <c r="Q285">
        <f>IF(OR(C285=4,C285=15,C285=27),1,0)</f>
        <v/>
      </c>
      <c r="R285">
        <f>IF(I285&lt;=60,1,0)</f>
        <v/>
      </c>
    </row>
    <row r="286">
      <c r="A286" t="n">
        <v>285</v>
      </c>
      <c r="B286" t="n">
        <v>2</v>
      </c>
      <c r="C286" t="n">
        <v>15</v>
      </c>
      <c r="D286" t="n">
        <v>1</v>
      </c>
      <c r="E286" t="n">
        <v>43</v>
      </c>
      <c r="F286" t="n">
        <v>0</v>
      </c>
      <c r="G286" t="n">
        <v>115</v>
      </c>
      <c r="H286" t="n">
        <v>0</v>
      </c>
      <c r="I286" t="n">
        <v>493</v>
      </c>
      <c r="J286" t="n">
        <v>0.863275</v>
      </c>
      <c r="K286">
        <f>RANK(J286,$J$2:$J$601,1)</f>
        <v/>
      </c>
      <c r="L286">
        <f>IF(K286&lt;=60,1,0)</f>
        <v/>
      </c>
      <c r="M286">
        <f>IF(MOD(A286-7,10)=0,1,0)</f>
        <v/>
      </c>
      <c r="N286">
        <f>COUNTIFS($B$2:$B$601,B286,$J$2:$J$601,"&lt;"&amp;J286)+1</f>
        <v/>
      </c>
      <c r="O286">
        <f>ROUND(COUNTIF($B$2:$B$601,B286)/600*60,0)</f>
        <v/>
      </c>
      <c r="P286">
        <f>IF(N286&lt;=O286,1,0)</f>
        <v/>
      </c>
      <c r="Q286">
        <f>IF(OR(C286=4,C286=15,C286=27),1,0)</f>
        <v/>
      </c>
      <c r="R286">
        <f>IF(I286&lt;=60,1,0)</f>
        <v/>
      </c>
    </row>
    <row r="287">
      <c r="A287" t="n">
        <v>286</v>
      </c>
      <c r="B287" t="n">
        <v>2</v>
      </c>
      <c r="C287" t="n">
        <v>15</v>
      </c>
      <c r="D287" t="n">
        <v>1</v>
      </c>
      <c r="E287" t="n">
        <v>31</v>
      </c>
      <c r="F287" t="n">
        <v>0</v>
      </c>
      <c r="G287" t="n">
        <v>107</v>
      </c>
      <c r="H287" t="n">
        <v>0</v>
      </c>
      <c r="I287" t="n">
        <v>251</v>
      </c>
      <c r="J287" t="n">
        <v>0.132978</v>
      </c>
      <c r="K287">
        <f>RANK(J287,$J$2:$J$601,1)</f>
        <v/>
      </c>
      <c r="L287">
        <f>IF(K287&lt;=60,1,0)</f>
        <v/>
      </c>
      <c r="M287">
        <f>IF(MOD(A287-7,10)=0,1,0)</f>
        <v/>
      </c>
      <c r="N287">
        <f>COUNTIFS($B$2:$B$601,B287,$J$2:$J$601,"&lt;"&amp;J287)+1</f>
        <v/>
      </c>
      <c r="O287">
        <f>ROUND(COUNTIF($B$2:$B$601,B287)/600*60,0)</f>
        <v/>
      </c>
      <c r="P287">
        <f>IF(N287&lt;=O287,1,0)</f>
        <v/>
      </c>
      <c r="Q287">
        <f>IF(OR(C287=4,C287=15,C287=27),1,0)</f>
        <v/>
      </c>
      <c r="R287">
        <f>IF(I287&lt;=60,1,0)</f>
        <v/>
      </c>
    </row>
    <row r="288">
      <c r="A288" t="n">
        <v>287</v>
      </c>
      <c r="B288" t="n">
        <v>2</v>
      </c>
      <c r="C288" t="n">
        <v>15</v>
      </c>
      <c r="D288" t="n">
        <v>2</v>
      </c>
      <c r="E288" t="n">
        <v>70</v>
      </c>
      <c r="F288" t="n">
        <v>0</v>
      </c>
      <c r="G288" t="n">
        <v>126</v>
      </c>
      <c r="H288" t="n">
        <v>0</v>
      </c>
      <c r="I288" t="n">
        <v>390</v>
      </c>
      <c r="J288" t="n">
        <v>0.113702</v>
      </c>
      <c r="K288">
        <f>RANK(J288,$J$2:$J$601,1)</f>
        <v/>
      </c>
      <c r="L288">
        <f>IF(K288&lt;=60,1,0)</f>
        <v/>
      </c>
      <c r="M288">
        <f>IF(MOD(A288-7,10)=0,1,0)</f>
        <v/>
      </c>
      <c r="N288">
        <f>COUNTIFS($B$2:$B$601,B288,$J$2:$J$601,"&lt;"&amp;J288)+1</f>
        <v/>
      </c>
      <c r="O288">
        <f>ROUND(COUNTIF($B$2:$B$601,B288)/600*60,0)</f>
        <v/>
      </c>
      <c r="P288">
        <f>IF(N288&lt;=O288,1,0)</f>
        <v/>
      </c>
      <c r="Q288">
        <f>IF(OR(C288=4,C288=15,C288=27),1,0)</f>
        <v/>
      </c>
      <c r="R288">
        <f>IF(I288&lt;=60,1,0)</f>
        <v/>
      </c>
    </row>
    <row r="289">
      <c r="A289" t="n">
        <v>288</v>
      </c>
      <c r="B289" t="n">
        <v>2</v>
      </c>
      <c r="C289" t="n">
        <v>15</v>
      </c>
      <c r="D289" t="n">
        <v>1</v>
      </c>
      <c r="E289" t="n">
        <v>55</v>
      </c>
      <c r="F289" t="n">
        <v>0</v>
      </c>
      <c r="G289" t="n">
        <v>124</v>
      </c>
      <c r="H289" t="n">
        <v>0</v>
      </c>
      <c r="I289" t="n">
        <v>311</v>
      </c>
      <c r="J289" t="n">
        <v>0.977786</v>
      </c>
      <c r="K289">
        <f>RANK(J289,$J$2:$J$601,1)</f>
        <v/>
      </c>
      <c r="L289">
        <f>IF(K289&lt;=60,1,0)</f>
        <v/>
      </c>
      <c r="M289">
        <f>IF(MOD(A289-7,10)=0,1,0)</f>
        <v/>
      </c>
      <c r="N289">
        <f>COUNTIFS($B$2:$B$601,B289,$J$2:$J$601,"&lt;"&amp;J289)+1</f>
        <v/>
      </c>
      <c r="O289">
        <f>ROUND(COUNTIF($B$2:$B$601,B289)/600*60,0)</f>
        <v/>
      </c>
      <c r="P289">
        <f>IF(N289&lt;=O289,1,0)</f>
        <v/>
      </c>
      <c r="Q289">
        <f>IF(OR(C289=4,C289=15,C289=27),1,0)</f>
        <v/>
      </c>
      <c r="R289">
        <f>IF(I289&lt;=60,1,0)</f>
        <v/>
      </c>
    </row>
    <row r="290">
      <c r="A290" t="n">
        <v>289</v>
      </c>
      <c r="B290" t="n">
        <v>2</v>
      </c>
      <c r="C290" t="n">
        <v>15</v>
      </c>
      <c r="D290" t="n">
        <v>2</v>
      </c>
      <c r="E290" t="n">
        <v>50</v>
      </c>
      <c r="F290" t="n">
        <v>0</v>
      </c>
      <c r="G290" t="n">
        <v>101</v>
      </c>
      <c r="H290" t="n">
        <v>0</v>
      </c>
      <c r="I290" t="n">
        <v>538</v>
      </c>
      <c r="J290" t="n">
        <v>0.298077</v>
      </c>
      <c r="K290">
        <f>RANK(J290,$J$2:$J$601,1)</f>
        <v/>
      </c>
      <c r="L290">
        <f>IF(K290&lt;=60,1,0)</f>
        <v/>
      </c>
      <c r="M290">
        <f>IF(MOD(A290-7,10)=0,1,0)</f>
        <v/>
      </c>
      <c r="N290">
        <f>COUNTIFS($B$2:$B$601,B290,$J$2:$J$601,"&lt;"&amp;J290)+1</f>
        <v/>
      </c>
      <c r="O290">
        <f>ROUND(COUNTIF($B$2:$B$601,B290)/600*60,0)</f>
        <v/>
      </c>
      <c r="P290">
        <f>IF(N290&lt;=O290,1,0)</f>
        <v/>
      </c>
      <c r="Q290">
        <f>IF(OR(C290=4,C290=15,C290=27),1,0)</f>
        <v/>
      </c>
      <c r="R290">
        <f>IF(I290&lt;=60,1,0)</f>
        <v/>
      </c>
    </row>
    <row r="291">
      <c r="A291" t="n">
        <v>290</v>
      </c>
      <c r="B291" t="n">
        <v>2</v>
      </c>
      <c r="C291" t="n">
        <v>15</v>
      </c>
      <c r="D291" t="n">
        <v>1</v>
      </c>
      <c r="E291" t="n">
        <v>50</v>
      </c>
      <c r="F291" t="n">
        <v>0</v>
      </c>
      <c r="G291" t="n">
        <v>129</v>
      </c>
      <c r="H291" t="n">
        <v>0</v>
      </c>
      <c r="I291" t="n">
        <v>393</v>
      </c>
      <c r="J291" t="n">
        <v>0.953395</v>
      </c>
      <c r="K291">
        <f>RANK(J291,$J$2:$J$601,1)</f>
        <v/>
      </c>
      <c r="L291">
        <f>IF(K291&lt;=60,1,0)</f>
        <v/>
      </c>
      <c r="M291">
        <f>IF(MOD(A291-7,10)=0,1,0)</f>
        <v/>
      </c>
      <c r="N291">
        <f>COUNTIFS($B$2:$B$601,B291,$J$2:$J$601,"&lt;"&amp;J291)+1</f>
        <v/>
      </c>
      <c r="O291">
        <f>ROUND(COUNTIF($B$2:$B$601,B291)/600*60,0)</f>
        <v/>
      </c>
      <c r="P291">
        <f>IF(N291&lt;=O291,1,0)</f>
        <v/>
      </c>
      <c r="Q291">
        <f>IF(OR(C291=4,C291=15,C291=27),1,0)</f>
        <v/>
      </c>
      <c r="R291">
        <f>IF(I291&lt;=60,1,0)</f>
        <v/>
      </c>
    </row>
    <row r="292">
      <c r="A292" t="n">
        <v>291</v>
      </c>
      <c r="B292" t="n">
        <v>2</v>
      </c>
      <c r="C292" t="n">
        <v>15</v>
      </c>
      <c r="D292" t="n">
        <v>1</v>
      </c>
      <c r="E292" t="n">
        <v>70</v>
      </c>
      <c r="F292" t="n">
        <v>0</v>
      </c>
      <c r="G292" t="n">
        <v>140</v>
      </c>
      <c r="H292" t="n">
        <v>1</v>
      </c>
      <c r="I292" t="n">
        <v>55</v>
      </c>
      <c r="J292" t="n">
        <v>0.821651</v>
      </c>
      <c r="K292">
        <f>RANK(J292,$J$2:$J$601,1)</f>
        <v/>
      </c>
      <c r="L292">
        <f>IF(K292&lt;=60,1,0)</f>
        <v/>
      </c>
      <c r="M292">
        <f>IF(MOD(A292-7,10)=0,1,0)</f>
        <v/>
      </c>
      <c r="N292">
        <f>COUNTIFS($B$2:$B$601,B292,$J$2:$J$601,"&lt;"&amp;J292)+1</f>
        <v/>
      </c>
      <c r="O292">
        <f>ROUND(COUNTIF($B$2:$B$601,B292)/600*60,0)</f>
        <v/>
      </c>
      <c r="P292">
        <f>IF(N292&lt;=O292,1,0)</f>
        <v/>
      </c>
      <c r="Q292">
        <f>IF(OR(C292=4,C292=15,C292=27),1,0)</f>
        <v/>
      </c>
      <c r="R292">
        <f>IF(I292&lt;=60,1,0)</f>
        <v/>
      </c>
    </row>
    <row r="293">
      <c r="A293" t="n">
        <v>292</v>
      </c>
      <c r="B293" t="n">
        <v>2</v>
      </c>
      <c r="C293" t="n">
        <v>15</v>
      </c>
      <c r="D293" t="n">
        <v>2</v>
      </c>
      <c r="E293" t="n">
        <v>38</v>
      </c>
      <c r="F293" t="n">
        <v>1</v>
      </c>
      <c r="G293" t="n">
        <v>121</v>
      </c>
      <c r="H293" t="n">
        <v>0</v>
      </c>
      <c r="I293" t="n">
        <v>592</v>
      </c>
      <c r="J293" t="n">
        <v>0.085715</v>
      </c>
      <c r="K293">
        <f>RANK(J293,$J$2:$J$601,1)</f>
        <v/>
      </c>
      <c r="L293">
        <f>IF(K293&lt;=60,1,0)</f>
        <v/>
      </c>
      <c r="M293">
        <f>IF(MOD(A293-7,10)=0,1,0)</f>
        <v/>
      </c>
      <c r="N293">
        <f>COUNTIFS($B$2:$B$601,B293,$J$2:$J$601,"&lt;"&amp;J293)+1</f>
        <v/>
      </c>
      <c r="O293">
        <f>ROUND(COUNTIF($B$2:$B$601,B293)/600*60,0)</f>
        <v/>
      </c>
      <c r="P293">
        <f>IF(N293&lt;=O293,1,0)</f>
        <v/>
      </c>
      <c r="Q293">
        <f>IF(OR(C293=4,C293=15,C293=27),1,0)</f>
        <v/>
      </c>
      <c r="R293">
        <f>IF(I293&lt;=60,1,0)</f>
        <v/>
      </c>
    </row>
    <row r="294">
      <c r="A294" t="n">
        <v>293</v>
      </c>
      <c r="B294" t="n">
        <v>2</v>
      </c>
      <c r="C294" t="n">
        <v>15</v>
      </c>
      <c r="D294" t="n">
        <v>1</v>
      </c>
      <c r="E294" t="n">
        <v>68</v>
      </c>
      <c r="F294" t="n">
        <v>0</v>
      </c>
      <c r="G294" t="n">
        <v>136</v>
      </c>
      <c r="H294" t="n">
        <v>0</v>
      </c>
      <c r="I294" t="n">
        <v>434</v>
      </c>
      <c r="J294" t="n">
        <v>0.190819</v>
      </c>
      <c r="K294">
        <f>RANK(J294,$J$2:$J$601,1)</f>
        <v/>
      </c>
      <c r="L294">
        <f>IF(K294&lt;=60,1,0)</f>
        <v/>
      </c>
      <c r="M294">
        <f>IF(MOD(A294-7,10)=0,1,0)</f>
        <v/>
      </c>
      <c r="N294">
        <f>COUNTIFS($B$2:$B$601,B294,$J$2:$J$601,"&lt;"&amp;J294)+1</f>
        <v/>
      </c>
      <c r="O294">
        <f>ROUND(COUNTIF($B$2:$B$601,B294)/600*60,0)</f>
        <v/>
      </c>
      <c r="P294">
        <f>IF(N294&lt;=O294,1,0)</f>
        <v/>
      </c>
      <c r="Q294">
        <f>IF(OR(C294=4,C294=15,C294=27),1,0)</f>
        <v/>
      </c>
      <c r="R294">
        <f>IF(I294&lt;=60,1,0)</f>
        <v/>
      </c>
    </row>
    <row r="295">
      <c r="A295" t="n">
        <v>294</v>
      </c>
      <c r="B295" t="n">
        <v>2</v>
      </c>
      <c r="C295" t="n">
        <v>15</v>
      </c>
      <c r="D295" t="n">
        <v>1</v>
      </c>
      <c r="E295" t="n">
        <v>75</v>
      </c>
      <c r="F295" t="n">
        <v>0</v>
      </c>
      <c r="G295" t="n">
        <v>149</v>
      </c>
      <c r="H295" t="n">
        <v>1</v>
      </c>
      <c r="I295" t="n">
        <v>26</v>
      </c>
      <c r="J295" t="n">
        <v>0.6998220000000001</v>
      </c>
      <c r="K295">
        <f>RANK(J295,$J$2:$J$601,1)</f>
        <v/>
      </c>
      <c r="L295">
        <f>IF(K295&lt;=60,1,0)</f>
        <v/>
      </c>
      <c r="M295">
        <f>IF(MOD(A295-7,10)=0,1,0)</f>
        <v/>
      </c>
      <c r="N295">
        <f>COUNTIFS($B$2:$B$601,B295,$J$2:$J$601,"&lt;"&amp;J295)+1</f>
        <v/>
      </c>
      <c r="O295">
        <f>ROUND(COUNTIF($B$2:$B$601,B295)/600*60,0)</f>
        <v/>
      </c>
      <c r="P295">
        <f>IF(N295&lt;=O295,1,0)</f>
        <v/>
      </c>
      <c r="Q295">
        <f>IF(OR(C295=4,C295=15,C295=27),1,0)</f>
        <v/>
      </c>
      <c r="R295">
        <f>IF(I295&lt;=60,1,0)</f>
        <v/>
      </c>
    </row>
    <row r="296">
      <c r="A296" t="n">
        <v>295</v>
      </c>
      <c r="B296" t="n">
        <v>2</v>
      </c>
      <c r="C296" t="n">
        <v>15</v>
      </c>
      <c r="D296" t="n">
        <v>1</v>
      </c>
      <c r="E296" t="n">
        <v>58</v>
      </c>
      <c r="F296" t="n">
        <v>0</v>
      </c>
      <c r="G296" t="n">
        <v>116</v>
      </c>
      <c r="H296" t="n">
        <v>0</v>
      </c>
      <c r="I296" t="n">
        <v>90</v>
      </c>
      <c r="J296" t="n">
        <v>0.1079</v>
      </c>
      <c r="K296">
        <f>RANK(J296,$J$2:$J$601,1)</f>
        <v/>
      </c>
      <c r="L296">
        <f>IF(K296&lt;=60,1,0)</f>
        <v/>
      </c>
      <c r="M296">
        <f>IF(MOD(A296-7,10)=0,1,0)</f>
        <v/>
      </c>
      <c r="N296">
        <f>COUNTIFS($B$2:$B$601,B296,$J$2:$J$601,"&lt;"&amp;J296)+1</f>
        <v/>
      </c>
      <c r="O296">
        <f>ROUND(COUNTIF($B$2:$B$601,B296)/600*60,0)</f>
        <v/>
      </c>
      <c r="P296">
        <f>IF(N296&lt;=O296,1,0)</f>
        <v/>
      </c>
      <c r="Q296">
        <f>IF(OR(C296=4,C296=15,C296=27),1,0)</f>
        <v/>
      </c>
      <c r="R296">
        <f>IF(I296&lt;=60,1,0)</f>
        <v/>
      </c>
    </row>
    <row r="297">
      <c r="A297" t="n">
        <v>296</v>
      </c>
      <c r="B297" t="n">
        <v>2</v>
      </c>
      <c r="C297" t="n">
        <v>15</v>
      </c>
      <c r="D297" t="n">
        <v>1</v>
      </c>
      <c r="E297" t="n">
        <v>37</v>
      </c>
      <c r="F297" t="n">
        <v>0</v>
      </c>
      <c r="G297" t="n">
        <v>115</v>
      </c>
      <c r="H297" t="n">
        <v>0</v>
      </c>
      <c r="I297" t="n">
        <v>428</v>
      </c>
      <c r="J297" t="n">
        <v>0.5820070000000001</v>
      </c>
      <c r="K297">
        <f>RANK(J297,$J$2:$J$601,1)</f>
        <v/>
      </c>
      <c r="L297">
        <f>IF(K297&lt;=60,1,0)</f>
        <v/>
      </c>
      <c r="M297">
        <f>IF(MOD(A297-7,10)=0,1,0)</f>
        <v/>
      </c>
      <c r="N297">
        <f>COUNTIFS($B$2:$B$601,B297,$J$2:$J$601,"&lt;"&amp;J297)+1</f>
        <v/>
      </c>
      <c r="O297">
        <f>ROUND(COUNTIF($B$2:$B$601,B297)/600*60,0)</f>
        <v/>
      </c>
      <c r="P297">
        <f>IF(N297&lt;=O297,1,0)</f>
        <v/>
      </c>
      <c r="Q297">
        <f>IF(OR(C297=4,C297=15,C297=27),1,0)</f>
        <v/>
      </c>
      <c r="R297">
        <f>IF(I297&lt;=60,1,0)</f>
        <v/>
      </c>
    </row>
    <row r="298">
      <c r="A298" t="n">
        <v>297</v>
      </c>
      <c r="B298" t="n">
        <v>2</v>
      </c>
      <c r="C298" t="n">
        <v>15</v>
      </c>
      <c r="D298" t="n">
        <v>2</v>
      </c>
      <c r="E298" t="n">
        <v>67</v>
      </c>
      <c r="F298" t="n">
        <v>1</v>
      </c>
      <c r="G298" t="n">
        <v>146</v>
      </c>
      <c r="H298" t="n">
        <v>1</v>
      </c>
      <c r="I298" t="n">
        <v>132</v>
      </c>
      <c r="J298" t="n">
        <v>0.6378239999999999</v>
      </c>
      <c r="K298">
        <f>RANK(J298,$J$2:$J$601,1)</f>
        <v/>
      </c>
      <c r="L298">
        <f>IF(K298&lt;=60,1,0)</f>
        <v/>
      </c>
      <c r="M298">
        <f>IF(MOD(A298-7,10)=0,1,0)</f>
        <v/>
      </c>
      <c r="N298">
        <f>COUNTIFS($B$2:$B$601,B298,$J$2:$J$601,"&lt;"&amp;J298)+1</f>
        <v/>
      </c>
      <c r="O298">
        <f>ROUND(COUNTIF($B$2:$B$601,B298)/600*60,0)</f>
        <v/>
      </c>
      <c r="P298">
        <f>IF(N298&lt;=O298,1,0)</f>
        <v/>
      </c>
      <c r="Q298">
        <f>IF(OR(C298=4,C298=15,C298=27),1,0)</f>
        <v/>
      </c>
      <c r="R298">
        <f>IF(I298&lt;=60,1,0)</f>
        <v/>
      </c>
    </row>
    <row r="299">
      <c r="A299" t="n">
        <v>298</v>
      </c>
      <c r="B299" t="n">
        <v>2</v>
      </c>
      <c r="C299" t="n">
        <v>15</v>
      </c>
      <c r="D299" t="n">
        <v>2</v>
      </c>
      <c r="E299" t="n">
        <v>69</v>
      </c>
      <c r="F299" t="n">
        <v>1</v>
      </c>
      <c r="G299" t="n">
        <v>141</v>
      </c>
      <c r="H299" t="n">
        <v>1</v>
      </c>
      <c r="I299" t="n">
        <v>64</v>
      </c>
      <c r="J299" t="n">
        <v>0.773899</v>
      </c>
      <c r="K299">
        <f>RANK(J299,$J$2:$J$601,1)</f>
        <v/>
      </c>
      <c r="L299">
        <f>IF(K299&lt;=60,1,0)</f>
        <v/>
      </c>
      <c r="M299">
        <f>IF(MOD(A299-7,10)=0,1,0)</f>
        <v/>
      </c>
      <c r="N299">
        <f>COUNTIFS($B$2:$B$601,B299,$J$2:$J$601,"&lt;"&amp;J299)+1</f>
        <v/>
      </c>
      <c r="O299">
        <f>ROUND(COUNTIF($B$2:$B$601,B299)/600*60,0)</f>
        <v/>
      </c>
      <c r="P299">
        <f>IF(N299&lt;=O299,1,0)</f>
        <v/>
      </c>
      <c r="Q299">
        <f>IF(OR(C299=4,C299=15,C299=27),1,0)</f>
        <v/>
      </c>
      <c r="R299">
        <f>IF(I299&lt;=60,1,0)</f>
        <v/>
      </c>
    </row>
    <row r="300">
      <c r="A300" t="n">
        <v>299</v>
      </c>
      <c r="B300" t="n">
        <v>2</v>
      </c>
      <c r="C300" t="n">
        <v>15</v>
      </c>
      <c r="D300" t="n">
        <v>2</v>
      </c>
      <c r="E300" t="n">
        <v>63</v>
      </c>
      <c r="F300" t="n">
        <v>1</v>
      </c>
      <c r="G300" t="n">
        <v>159</v>
      </c>
      <c r="H300" t="n">
        <v>1</v>
      </c>
      <c r="I300" t="n">
        <v>220</v>
      </c>
      <c r="J300" t="n">
        <v>0.061481</v>
      </c>
      <c r="K300">
        <f>RANK(J300,$J$2:$J$601,1)</f>
        <v/>
      </c>
      <c r="L300">
        <f>IF(K300&lt;=60,1,0)</f>
        <v/>
      </c>
      <c r="M300">
        <f>IF(MOD(A300-7,10)=0,1,0)</f>
        <v/>
      </c>
      <c r="N300">
        <f>COUNTIFS($B$2:$B$601,B300,$J$2:$J$601,"&lt;"&amp;J300)+1</f>
        <v/>
      </c>
      <c r="O300">
        <f>ROUND(COUNTIF($B$2:$B$601,B300)/600*60,0)</f>
        <v/>
      </c>
      <c r="P300">
        <f>IF(N300&lt;=O300,1,0)</f>
        <v/>
      </c>
      <c r="Q300">
        <f>IF(OR(C300=4,C300=15,C300=27),1,0)</f>
        <v/>
      </c>
      <c r="R300">
        <f>IF(I300&lt;=60,1,0)</f>
        <v/>
      </c>
    </row>
    <row r="301">
      <c r="A301" t="n">
        <v>300</v>
      </c>
      <c r="B301" t="n">
        <v>2</v>
      </c>
      <c r="C301" t="n">
        <v>15</v>
      </c>
      <c r="D301" t="n">
        <v>1</v>
      </c>
      <c r="E301" t="n">
        <v>38</v>
      </c>
      <c r="F301" t="n">
        <v>0</v>
      </c>
      <c r="G301" t="n">
        <v>97</v>
      </c>
      <c r="H301" t="n">
        <v>0</v>
      </c>
      <c r="I301" t="n">
        <v>319</v>
      </c>
      <c r="J301" t="n">
        <v>0.574264</v>
      </c>
      <c r="K301">
        <f>RANK(J301,$J$2:$J$601,1)</f>
        <v/>
      </c>
      <c r="L301">
        <f>IF(K301&lt;=60,1,0)</f>
        <v/>
      </c>
      <c r="M301">
        <f>IF(MOD(A301-7,10)=0,1,0)</f>
        <v/>
      </c>
      <c r="N301">
        <f>COUNTIFS($B$2:$B$601,B301,$J$2:$J$601,"&lt;"&amp;J301)+1</f>
        <v/>
      </c>
      <c r="O301">
        <f>ROUND(COUNTIF($B$2:$B$601,B301)/600*60,0)</f>
        <v/>
      </c>
      <c r="P301">
        <f>IF(N301&lt;=O301,1,0)</f>
        <v/>
      </c>
      <c r="Q301">
        <f>IF(OR(C301=4,C301=15,C301=27),1,0)</f>
        <v/>
      </c>
      <c r="R301">
        <f>IF(I301&lt;=60,1,0)</f>
        <v/>
      </c>
    </row>
    <row r="302">
      <c r="A302" t="n">
        <v>301</v>
      </c>
      <c r="B302" t="n">
        <v>2</v>
      </c>
      <c r="C302" t="n">
        <v>16</v>
      </c>
      <c r="D302" t="n">
        <v>2</v>
      </c>
      <c r="E302" t="n">
        <v>42</v>
      </c>
      <c r="F302" t="n">
        <v>0</v>
      </c>
      <c r="G302" t="n">
        <v>108</v>
      </c>
      <c r="H302" t="n">
        <v>0</v>
      </c>
      <c r="I302" t="n">
        <v>442</v>
      </c>
      <c r="J302" t="n">
        <v>0.099924</v>
      </c>
      <c r="K302">
        <f>RANK(J302,$J$2:$J$601,1)</f>
        <v/>
      </c>
      <c r="L302">
        <f>IF(K302&lt;=60,1,0)</f>
        <v/>
      </c>
      <c r="M302">
        <f>IF(MOD(A302-7,10)=0,1,0)</f>
        <v/>
      </c>
      <c r="N302">
        <f>COUNTIFS($B$2:$B$601,B302,$J$2:$J$601,"&lt;"&amp;J302)+1</f>
        <v/>
      </c>
      <c r="O302">
        <f>ROUND(COUNTIF($B$2:$B$601,B302)/600*60,0)</f>
        <v/>
      </c>
      <c r="P302">
        <f>IF(N302&lt;=O302,1,0)</f>
        <v/>
      </c>
      <c r="Q302">
        <f>IF(OR(C302=4,C302=15,C302=27),1,0)</f>
        <v/>
      </c>
      <c r="R302">
        <f>IF(I302&lt;=60,1,0)</f>
        <v/>
      </c>
    </row>
    <row r="303">
      <c r="A303" t="n">
        <v>302</v>
      </c>
      <c r="B303" t="n">
        <v>2</v>
      </c>
      <c r="C303" t="n">
        <v>16</v>
      </c>
      <c r="D303" t="n">
        <v>2</v>
      </c>
      <c r="E303" t="n">
        <v>55</v>
      </c>
      <c r="F303" t="n">
        <v>0</v>
      </c>
      <c r="G303" t="n">
        <v>136</v>
      </c>
      <c r="H303" t="n">
        <v>0</v>
      </c>
      <c r="I303" t="n">
        <v>447</v>
      </c>
      <c r="J303" t="n">
        <v>0.243622</v>
      </c>
      <c r="K303">
        <f>RANK(J303,$J$2:$J$601,1)</f>
        <v/>
      </c>
      <c r="L303">
        <f>IF(K303&lt;=60,1,0)</f>
        <v/>
      </c>
      <c r="M303">
        <f>IF(MOD(A303-7,10)=0,1,0)</f>
        <v/>
      </c>
      <c r="N303">
        <f>COUNTIFS($B$2:$B$601,B303,$J$2:$J$601,"&lt;"&amp;J303)+1</f>
        <v/>
      </c>
      <c r="O303">
        <f>ROUND(COUNTIF($B$2:$B$601,B303)/600*60,0)</f>
        <v/>
      </c>
      <c r="P303">
        <f>IF(N303&lt;=O303,1,0)</f>
        <v/>
      </c>
      <c r="Q303">
        <f>IF(OR(C303=4,C303=15,C303=27),1,0)</f>
        <v/>
      </c>
      <c r="R303">
        <f>IF(I303&lt;=60,1,0)</f>
        <v/>
      </c>
    </row>
    <row r="304">
      <c r="A304" t="n">
        <v>303</v>
      </c>
      <c r="B304" t="n">
        <v>2</v>
      </c>
      <c r="C304" t="n">
        <v>16</v>
      </c>
      <c r="D304" t="n">
        <v>2</v>
      </c>
      <c r="E304" t="n">
        <v>54</v>
      </c>
      <c r="F304" t="n">
        <v>0</v>
      </c>
      <c r="G304" t="n">
        <v>127</v>
      </c>
      <c r="H304" t="n">
        <v>0</v>
      </c>
      <c r="I304" t="n">
        <v>182</v>
      </c>
      <c r="J304" t="n">
        <v>0.311018</v>
      </c>
      <c r="K304">
        <f>RANK(J304,$J$2:$J$601,1)</f>
        <v/>
      </c>
      <c r="L304">
        <f>IF(K304&lt;=60,1,0)</f>
        <v/>
      </c>
      <c r="M304">
        <f>IF(MOD(A304-7,10)=0,1,0)</f>
        <v/>
      </c>
      <c r="N304">
        <f>COUNTIFS($B$2:$B$601,B304,$J$2:$J$601,"&lt;"&amp;J304)+1</f>
        <v/>
      </c>
      <c r="O304">
        <f>ROUND(COUNTIF($B$2:$B$601,B304)/600*60,0)</f>
        <v/>
      </c>
      <c r="P304">
        <f>IF(N304&lt;=O304,1,0)</f>
        <v/>
      </c>
      <c r="Q304">
        <f>IF(OR(C304=4,C304=15,C304=27),1,0)</f>
        <v/>
      </c>
      <c r="R304">
        <f>IF(I304&lt;=60,1,0)</f>
        <v/>
      </c>
    </row>
    <row r="305">
      <c r="A305" t="n">
        <v>304</v>
      </c>
      <c r="B305" t="n">
        <v>2</v>
      </c>
      <c r="C305" t="n">
        <v>16</v>
      </c>
      <c r="D305" t="n">
        <v>2</v>
      </c>
      <c r="E305" t="n">
        <v>34</v>
      </c>
      <c r="F305" t="n">
        <v>1</v>
      </c>
      <c r="G305" t="n">
        <v>123</v>
      </c>
      <c r="H305" t="n">
        <v>0</v>
      </c>
      <c r="I305" t="n">
        <v>375</v>
      </c>
      <c r="J305" t="n">
        <v>0.253883</v>
      </c>
      <c r="K305">
        <f>RANK(J305,$J$2:$J$601,1)</f>
        <v/>
      </c>
      <c r="L305">
        <f>IF(K305&lt;=60,1,0)</f>
        <v/>
      </c>
      <c r="M305">
        <f>IF(MOD(A305-7,10)=0,1,0)</f>
        <v/>
      </c>
      <c r="N305">
        <f>COUNTIFS($B$2:$B$601,B305,$J$2:$J$601,"&lt;"&amp;J305)+1</f>
        <v/>
      </c>
      <c r="O305">
        <f>ROUND(COUNTIF($B$2:$B$601,B305)/600*60,0)</f>
        <v/>
      </c>
      <c r="P305">
        <f>IF(N305&lt;=O305,1,0)</f>
        <v/>
      </c>
      <c r="Q305">
        <f>IF(OR(C305=4,C305=15,C305=27),1,0)</f>
        <v/>
      </c>
      <c r="R305">
        <f>IF(I305&lt;=60,1,0)</f>
        <v/>
      </c>
    </row>
    <row r="306">
      <c r="A306" t="n">
        <v>305</v>
      </c>
      <c r="B306" t="n">
        <v>2</v>
      </c>
      <c r="C306" t="n">
        <v>16</v>
      </c>
      <c r="D306" t="n">
        <v>2</v>
      </c>
      <c r="E306" t="n">
        <v>66</v>
      </c>
      <c r="F306" t="n">
        <v>1</v>
      </c>
      <c r="G306" t="n">
        <v>139</v>
      </c>
      <c r="H306" t="n">
        <v>0</v>
      </c>
      <c r="I306" t="n">
        <v>129</v>
      </c>
      <c r="J306" t="n">
        <v>0.563794</v>
      </c>
      <c r="K306">
        <f>RANK(J306,$J$2:$J$601,1)</f>
        <v/>
      </c>
      <c r="L306">
        <f>IF(K306&lt;=60,1,0)</f>
        <v/>
      </c>
      <c r="M306">
        <f>IF(MOD(A306-7,10)=0,1,0)</f>
        <v/>
      </c>
      <c r="N306">
        <f>COUNTIFS($B$2:$B$601,B306,$J$2:$J$601,"&lt;"&amp;J306)+1</f>
        <v/>
      </c>
      <c r="O306">
        <f>ROUND(COUNTIF($B$2:$B$601,B306)/600*60,0)</f>
        <v/>
      </c>
      <c r="P306">
        <f>IF(N306&lt;=O306,1,0)</f>
        <v/>
      </c>
      <c r="Q306">
        <f>IF(OR(C306=4,C306=15,C306=27),1,0)</f>
        <v/>
      </c>
      <c r="R306">
        <f>IF(I306&lt;=60,1,0)</f>
        <v/>
      </c>
    </row>
    <row r="307">
      <c r="A307" t="n">
        <v>306</v>
      </c>
      <c r="B307" t="n">
        <v>2</v>
      </c>
      <c r="C307" t="n">
        <v>16</v>
      </c>
      <c r="D307" t="n">
        <v>2</v>
      </c>
      <c r="E307" t="n">
        <v>64</v>
      </c>
      <c r="F307" t="n">
        <v>0</v>
      </c>
      <c r="G307" t="n">
        <v>118</v>
      </c>
      <c r="H307" t="n">
        <v>0</v>
      </c>
      <c r="I307" t="n">
        <v>81</v>
      </c>
      <c r="J307" t="n">
        <v>0.693137</v>
      </c>
      <c r="K307">
        <f>RANK(J307,$J$2:$J$601,1)</f>
        <v/>
      </c>
      <c r="L307">
        <f>IF(K307&lt;=60,1,0)</f>
        <v/>
      </c>
      <c r="M307">
        <f>IF(MOD(A307-7,10)=0,1,0)</f>
        <v/>
      </c>
      <c r="N307">
        <f>COUNTIFS($B$2:$B$601,B307,$J$2:$J$601,"&lt;"&amp;J307)+1</f>
        <v/>
      </c>
      <c r="O307">
        <f>ROUND(COUNTIF($B$2:$B$601,B307)/600*60,0)</f>
        <v/>
      </c>
      <c r="P307">
        <f>IF(N307&lt;=O307,1,0)</f>
        <v/>
      </c>
      <c r="Q307">
        <f>IF(OR(C307=4,C307=15,C307=27),1,0)</f>
        <v/>
      </c>
      <c r="R307">
        <f>IF(I307&lt;=60,1,0)</f>
        <v/>
      </c>
    </row>
    <row r="308">
      <c r="A308" t="n">
        <v>307</v>
      </c>
      <c r="B308" t="n">
        <v>2</v>
      </c>
      <c r="C308" t="n">
        <v>16</v>
      </c>
      <c r="D308" t="n">
        <v>1</v>
      </c>
      <c r="E308" t="n">
        <v>71</v>
      </c>
      <c r="F308" t="n">
        <v>0</v>
      </c>
      <c r="G308" t="n">
        <v>151</v>
      </c>
      <c r="H308" t="n">
        <v>1</v>
      </c>
      <c r="I308" t="n">
        <v>30</v>
      </c>
      <c r="J308" t="n">
        <v>0.536322</v>
      </c>
      <c r="K308">
        <f>RANK(J308,$J$2:$J$601,1)</f>
        <v/>
      </c>
      <c r="L308">
        <f>IF(K308&lt;=60,1,0)</f>
        <v/>
      </c>
      <c r="M308">
        <f>IF(MOD(A308-7,10)=0,1,0)</f>
        <v/>
      </c>
      <c r="N308">
        <f>COUNTIFS($B$2:$B$601,B308,$J$2:$J$601,"&lt;"&amp;J308)+1</f>
        <v/>
      </c>
      <c r="O308">
        <f>ROUND(COUNTIF($B$2:$B$601,B308)/600*60,0)</f>
        <v/>
      </c>
      <c r="P308">
        <f>IF(N308&lt;=O308,1,0)</f>
        <v/>
      </c>
      <c r="Q308">
        <f>IF(OR(C308=4,C308=15,C308=27),1,0)</f>
        <v/>
      </c>
      <c r="R308">
        <f>IF(I308&lt;=60,1,0)</f>
        <v/>
      </c>
    </row>
    <row r="309">
      <c r="A309" t="n">
        <v>308</v>
      </c>
      <c r="B309" t="n">
        <v>2</v>
      </c>
      <c r="C309" t="n">
        <v>16</v>
      </c>
      <c r="D309" t="n">
        <v>2</v>
      </c>
      <c r="E309" t="n">
        <v>49</v>
      </c>
      <c r="F309" t="n">
        <v>1</v>
      </c>
      <c r="G309" t="n">
        <v>136</v>
      </c>
      <c r="H309" t="n">
        <v>0</v>
      </c>
      <c r="I309" t="n">
        <v>280</v>
      </c>
      <c r="J309" t="n">
        <v>0.782459</v>
      </c>
      <c r="K309">
        <f>RANK(J309,$J$2:$J$601,1)</f>
        <v/>
      </c>
      <c r="L309">
        <f>IF(K309&lt;=60,1,0)</f>
        <v/>
      </c>
      <c r="M309">
        <f>IF(MOD(A309-7,10)=0,1,0)</f>
        <v/>
      </c>
      <c r="N309">
        <f>COUNTIFS($B$2:$B$601,B309,$J$2:$J$601,"&lt;"&amp;J309)+1</f>
        <v/>
      </c>
      <c r="O309">
        <f>ROUND(COUNTIF($B$2:$B$601,B309)/600*60,0)</f>
        <v/>
      </c>
      <c r="P309">
        <f>IF(N309&lt;=O309,1,0)</f>
        <v/>
      </c>
      <c r="Q309">
        <f>IF(OR(C309=4,C309=15,C309=27),1,0)</f>
        <v/>
      </c>
      <c r="R309">
        <f>IF(I309&lt;=60,1,0)</f>
        <v/>
      </c>
    </row>
    <row r="310">
      <c r="A310" t="n">
        <v>309</v>
      </c>
      <c r="B310" t="n">
        <v>2</v>
      </c>
      <c r="C310" t="n">
        <v>16</v>
      </c>
      <c r="D310" t="n">
        <v>1</v>
      </c>
      <c r="E310" t="n">
        <v>45</v>
      </c>
      <c r="F310" t="n">
        <v>0</v>
      </c>
      <c r="G310" t="n">
        <v>142</v>
      </c>
      <c r="H310" t="n">
        <v>1</v>
      </c>
      <c r="I310" t="n">
        <v>261</v>
      </c>
      <c r="J310" t="n">
        <v>0.263874</v>
      </c>
      <c r="K310">
        <f>RANK(J310,$J$2:$J$601,1)</f>
        <v/>
      </c>
      <c r="L310">
        <f>IF(K310&lt;=60,1,0)</f>
        <v/>
      </c>
      <c r="M310">
        <f>IF(MOD(A310-7,10)=0,1,0)</f>
        <v/>
      </c>
      <c r="N310">
        <f>COUNTIFS($B$2:$B$601,B310,$J$2:$J$601,"&lt;"&amp;J310)+1</f>
        <v/>
      </c>
      <c r="O310">
        <f>ROUND(COUNTIF($B$2:$B$601,B310)/600*60,0)</f>
        <v/>
      </c>
      <c r="P310">
        <f>IF(N310&lt;=O310,1,0)</f>
        <v/>
      </c>
      <c r="Q310">
        <f>IF(OR(C310=4,C310=15,C310=27),1,0)</f>
        <v/>
      </c>
      <c r="R310">
        <f>IF(I310&lt;=60,1,0)</f>
        <v/>
      </c>
    </row>
    <row r="311">
      <c r="A311" t="n">
        <v>310</v>
      </c>
      <c r="B311" t="n">
        <v>2</v>
      </c>
      <c r="C311" t="n">
        <v>16</v>
      </c>
      <c r="D311" t="n">
        <v>2</v>
      </c>
      <c r="E311" t="n">
        <v>36</v>
      </c>
      <c r="F311" t="n">
        <v>1</v>
      </c>
      <c r="G311" t="n">
        <v>133</v>
      </c>
      <c r="H311" t="n">
        <v>0</v>
      </c>
      <c r="I311" t="n">
        <v>551</v>
      </c>
      <c r="J311" t="n">
        <v>0.238616</v>
      </c>
      <c r="K311">
        <f>RANK(J311,$J$2:$J$601,1)</f>
        <v/>
      </c>
      <c r="L311">
        <f>IF(K311&lt;=60,1,0)</f>
        <v/>
      </c>
      <c r="M311">
        <f>IF(MOD(A311-7,10)=0,1,0)</f>
        <v/>
      </c>
      <c r="N311">
        <f>COUNTIFS($B$2:$B$601,B311,$J$2:$J$601,"&lt;"&amp;J311)+1</f>
        <v/>
      </c>
      <c r="O311">
        <f>ROUND(COUNTIF($B$2:$B$601,B311)/600*60,0)</f>
        <v/>
      </c>
      <c r="P311">
        <f>IF(N311&lt;=O311,1,0)</f>
        <v/>
      </c>
      <c r="Q311">
        <f>IF(OR(C311=4,C311=15,C311=27),1,0)</f>
        <v/>
      </c>
      <c r="R311">
        <f>IF(I311&lt;=60,1,0)</f>
        <v/>
      </c>
    </row>
    <row r="312">
      <c r="A312" t="n">
        <v>311</v>
      </c>
      <c r="B312" t="n">
        <v>2</v>
      </c>
      <c r="C312" t="n">
        <v>16</v>
      </c>
      <c r="D312" t="n">
        <v>1</v>
      </c>
      <c r="E312" t="n">
        <v>48</v>
      </c>
      <c r="F312" t="n">
        <v>0</v>
      </c>
      <c r="G312" t="n">
        <v>144</v>
      </c>
      <c r="H312" t="n">
        <v>1</v>
      </c>
      <c r="I312" t="n">
        <v>82</v>
      </c>
      <c r="J312" t="n">
        <v>0.749733</v>
      </c>
      <c r="K312">
        <f>RANK(J312,$J$2:$J$601,1)</f>
        <v/>
      </c>
      <c r="L312">
        <f>IF(K312&lt;=60,1,0)</f>
        <v/>
      </c>
      <c r="M312">
        <f>IF(MOD(A312-7,10)=0,1,0)</f>
        <v/>
      </c>
      <c r="N312">
        <f>COUNTIFS($B$2:$B$601,B312,$J$2:$J$601,"&lt;"&amp;J312)+1</f>
        <v/>
      </c>
      <c r="O312">
        <f>ROUND(COUNTIF($B$2:$B$601,B312)/600*60,0)</f>
        <v/>
      </c>
      <c r="P312">
        <f>IF(N312&lt;=O312,1,0)</f>
        <v/>
      </c>
      <c r="Q312">
        <f>IF(OR(C312=4,C312=15,C312=27),1,0)</f>
        <v/>
      </c>
      <c r="R312">
        <f>IF(I312&lt;=60,1,0)</f>
        <v/>
      </c>
    </row>
    <row r="313">
      <c r="A313" t="n">
        <v>312</v>
      </c>
      <c r="B313" t="n">
        <v>2</v>
      </c>
      <c r="C313" t="n">
        <v>16</v>
      </c>
      <c r="D313" t="n">
        <v>2</v>
      </c>
      <c r="E313" t="n">
        <v>74</v>
      </c>
      <c r="F313" t="n">
        <v>1</v>
      </c>
      <c r="G313" t="n">
        <v>156</v>
      </c>
      <c r="H313" t="n">
        <v>1</v>
      </c>
      <c r="I313" t="n">
        <v>167</v>
      </c>
      <c r="J313" t="n">
        <v>0.133776</v>
      </c>
      <c r="K313">
        <f>RANK(J313,$J$2:$J$601,1)</f>
        <v/>
      </c>
      <c r="L313">
        <f>IF(K313&lt;=60,1,0)</f>
        <v/>
      </c>
      <c r="M313">
        <f>IF(MOD(A313-7,10)=0,1,0)</f>
        <v/>
      </c>
      <c r="N313">
        <f>COUNTIFS($B$2:$B$601,B313,$J$2:$J$601,"&lt;"&amp;J313)+1</f>
        <v/>
      </c>
      <c r="O313">
        <f>ROUND(COUNTIF($B$2:$B$601,B313)/600*60,0)</f>
        <v/>
      </c>
      <c r="P313">
        <f>IF(N313&lt;=O313,1,0)</f>
        <v/>
      </c>
      <c r="Q313">
        <f>IF(OR(C313=4,C313=15,C313=27),1,0)</f>
        <v/>
      </c>
      <c r="R313">
        <f>IF(I313&lt;=60,1,0)</f>
        <v/>
      </c>
    </row>
    <row r="314">
      <c r="A314" t="n">
        <v>313</v>
      </c>
      <c r="B314" t="n">
        <v>2</v>
      </c>
      <c r="C314" t="n">
        <v>16</v>
      </c>
      <c r="D314" t="n">
        <v>2</v>
      </c>
      <c r="E314" t="n">
        <v>56</v>
      </c>
      <c r="F314" t="n">
        <v>1</v>
      </c>
      <c r="G314" t="n">
        <v>145</v>
      </c>
      <c r="H314" t="n">
        <v>1</v>
      </c>
      <c r="I314" t="n">
        <v>126</v>
      </c>
      <c r="J314" t="n">
        <v>0.397704</v>
      </c>
      <c r="K314">
        <f>RANK(J314,$J$2:$J$601,1)</f>
        <v/>
      </c>
      <c r="L314">
        <f>IF(K314&lt;=60,1,0)</f>
        <v/>
      </c>
      <c r="M314">
        <f>IF(MOD(A314-7,10)=0,1,0)</f>
        <v/>
      </c>
      <c r="N314">
        <f>COUNTIFS($B$2:$B$601,B314,$J$2:$J$601,"&lt;"&amp;J314)+1</f>
        <v/>
      </c>
      <c r="O314">
        <f>ROUND(COUNTIF($B$2:$B$601,B314)/600*60,0)</f>
        <v/>
      </c>
      <c r="P314">
        <f>IF(N314&lt;=O314,1,0)</f>
        <v/>
      </c>
      <c r="Q314">
        <f>IF(OR(C314=4,C314=15,C314=27),1,0)</f>
        <v/>
      </c>
      <c r="R314">
        <f>IF(I314&lt;=60,1,0)</f>
        <v/>
      </c>
    </row>
    <row r="315">
      <c r="A315" t="n">
        <v>314</v>
      </c>
      <c r="B315" t="n">
        <v>2</v>
      </c>
      <c r="C315" t="n">
        <v>16</v>
      </c>
      <c r="D315" t="n">
        <v>2</v>
      </c>
      <c r="E315" t="n">
        <v>43</v>
      </c>
      <c r="F315" t="n">
        <v>0</v>
      </c>
      <c r="G315" t="n">
        <v>129</v>
      </c>
      <c r="H315" t="n">
        <v>0</v>
      </c>
      <c r="I315" t="n">
        <v>511</v>
      </c>
      <c r="J315" t="n">
        <v>0.8705270000000001</v>
      </c>
      <c r="K315">
        <f>RANK(J315,$J$2:$J$601,1)</f>
        <v/>
      </c>
      <c r="L315">
        <f>IF(K315&lt;=60,1,0)</f>
        <v/>
      </c>
      <c r="M315">
        <f>IF(MOD(A315-7,10)=0,1,0)</f>
        <v/>
      </c>
      <c r="N315">
        <f>COUNTIFS($B$2:$B$601,B315,$J$2:$J$601,"&lt;"&amp;J315)+1</f>
        <v/>
      </c>
      <c r="O315">
        <f>ROUND(COUNTIF($B$2:$B$601,B315)/600*60,0)</f>
        <v/>
      </c>
      <c r="P315">
        <f>IF(N315&lt;=O315,1,0)</f>
        <v/>
      </c>
      <c r="Q315">
        <f>IF(OR(C315=4,C315=15,C315=27),1,0)</f>
        <v/>
      </c>
      <c r="R315">
        <f>IF(I315&lt;=60,1,0)</f>
        <v/>
      </c>
    </row>
    <row r="316">
      <c r="A316" t="n">
        <v>315</v>
      </c>
      <c r="B316" t="n">
        <v>2</v>
      </c>
      <c r="C316" t="n">
        <v>16</v>
      </c>
      <c r="D316" t="n">
        <v>2</v>
      </c>
      <c r="E316" t="n">
        <v>45</v>
      </c>
      <c r="F316" t="n">
        <v>0</v>
      </c>
      <c r="G316" t="n">
        <v>141</v>
      </c>
      <c r="H316" t="n">
        <v>1</v>
      </c>
      <c r="I316" t="n">
        <v>230</v>
      </c>
      <c r="J316" t="n">
        <v>0.245641</v>
      </c>
      <c r="K316">
        <f>RANK(J316,$J$2:$J$601,1)</f>
        <v/>
      </c>
      <c r="L316">
        <f>IF(K316&lt;=60,1,0)</f>
        <v/>
      </c>
      <c r="M316">
        <f>IF(MOD(A316-7,10)=0,1,0)</f>
        <v/>
      </c>
      <c r="N316">
        <f>COUNTIFS($B$2:$B$601,B316,$J$2:$J$601,"&lt;"&amp;J316)+1</f>
        <v/>
      </c>
      <c r="O316">
        <f>ROUND(COUNTIF($B$2:$B$601,B316)/600*60,0)</f>
        <v/>
      </c>
      <c r="P316">
        <f>IF(N316&lt;=O316,1,0)</f>
        <v/>
      </c>
      <c r="Q316">
        <f>IF(OR(C316=4,C316=15,C316=27),1,0)</f>
        <v/>
      </c>
      <c r="R316">
        <f>IF(I316&lt;=60,1,0)</f>
        <v/>
      </c>
    </row>
    <row r="317">
      <c r="A317" t="n">
        <v>316</v>
      </c>
      <c r="B317" t="n">
        <v>2</v>
      </c>
      <c r="C317" t="n">
        <v>16</v>
      </c>
      <c r="D317" t="n">
        <v>1</v>
      </c>
      <c r="E317" t="n">
        <v>43</v>
      </c>
      <c r="F317" t="n">
        <v>0</v>
      </c>
      <c r="G317" t="n">
        <v>133</v>
      </c>
      <c r="H317" t="n">
        <v>0</v>
      </c>
      <c r="I317" t="n">
        <v>487</v>
      </c>
      <c r="J317" t="n">
        <v>0.108611</v>
      </c>
      <c r="K317">
        <f>RANK(J317,$J$2:$J$601,1)</f>
        <v/>
      </c>
      <c r="L317">
        <f>IF(K317&lt;=60,1,0)</f>
        <v/>
      </c>
      <c r="M317">
        <f>IF(MOD(A317-7,10)=0,1,0)</f>
        <v/>
      </c>
      <c r="N317">
        <f>COUNTIFS($B$2:$B$601,B317,$J$2:$J$601,"&lt;"&amp;J317)+1</f>
        <v/>
      </c>
      <c r="O317">
        <f>ROUND(COUNTIF($B$2:$B$601,B317)/600*60,0)</f>
        <v/>
      </c>
      <c r="P317">
        <f>IF(N317&lt;=O317,1,0)</f>
        <v/>
      </c>
      <c r="Q317">
        <f>IF(OR(C317=4,C317=15,C317=27),1,0)</f>
        <v/>
      </c>
      <c r="R317">
        <f>IF(I317&lt;=60,1,0)</f>
        <v/>
      </c>
    </row>
    <row r="318">
      <c r="A318" t="n">
        <v>317</v>
      </c>
      <c r="B318" t="n">
        <v>2</v>
      </c>
      <c r="C318" t="n">
        <v>16</v>
      </c>
      <c r="D318" t="n">
        <v>2</v>
      </c>
      <c r="E318" t="n">
        <v>72</v>
      </c>
      <c r="F318" t="n">
        <v>0</v>
      </c>
      <c r="G318" t="n">
        <v>150</v>
      </c>
      <c r="H318" t="n">
        <v>1</v>
      </c>
      <c r="I318" t="n">
        <v>28</v>
      </c>
      <c r="J318" t="n">
        <v>0.616322</v>
      </c>
      <c r="K318">
        <f>RANK(J318,$J$2:$J$601,1)</f>
        <v/>
      </c>
      <c r="L318">
        <f>IF(K318&lt;=60,1,0)</f>
        <v/>
      </c>
      <c r="M318">
        <f>IF(MOD(A318-7,10)=0,1,0)</f>
        <v/>
      </c>
      <c r="N318">
        <f>COUNTIFS($B$2:$B$601,B318,$J$2:$J$601,"&lt;"&amp;J318)+1</f>
        <v/>
      </c>
      <c r="O318">
        <f>ROUND(COUNTIF($B$2:$B$601,B318)/600*60,0)</f>
        <v/>
      </c>
      <c r="P318">
        <f>IF(N318&lt;=O318,1,0)</f>
        <v/>
      </c>
      <c r="Q318">
        <f>IF(OR(C318=4,C318=15,C318=27),1,0)</f>
        <v/>
      </c>
      <c r="R318">
        <f>IF(I318&lt;=60,1,0)</f>
        <v/>
      </c>
    </row>
    <row r="319">
      <c r="A319" t="n">
        <v>318</v>
      </c>
      <c r="B319" t="n">
        <v>2</v>
      </c>
      <c r="C319" t="n">
        <v>16</v>
      </c>
      <c r="D319" t="n">
        <v>1</v>
      </c>
      <c r="E319" t="n">
        <v>69</v>
      </c>
      <c r="F319" t="n">
        <v>0</v>
      </c>
      <c r="G319" t="n">
        <v>135</v>
      </c>
      <c r="H319" t="n">
        <v>0</v>
      </c>
      <c r="I319" t="n">
        <v>158</v>
      </c>
      <c r="J319" t="n">
        <v>0.28373</v>
      </c>
      <c r="K319">
        <f>RANK(J319,$J$2:$J$601,1)</f>
        <v/>
      </c>
      <c r="L319">
        <f>IF(K319&lt;=60,1,0)</f>
        <v/>
      </c>
      <c r="M319">
        <f>IF(MOD(A319-7,10)=0,1,0)</f>
        <v/>
      </c>
      <c r="N319">
        <f>COUNTIFS($B$2:$B$601,B319,$J$2:$J$601,"&lt;"&amp;J319)+1</f>
        <v/>
      </c>
      <c r="O319">
        <f>ROUND(COUNTIF($B$2:$B$601,B319)/600*60,0)</f>
        <v/>
      </c>
      <c r="P319">
        <f>IF(N319&lt;=O319,1,0)</f>
        <v/>
      </c>
      <c r="Q319">
        <f>IF(OR(C319=4,C319=15,C319=27),1,0)</f>
        <v/>
      </c>
      <c r="R319">
        <f>IF(I319&lt;=60,1,0)</f>
        <v/>
      </c>
    </row>
    <row r="320">
      <c r="A320" t="n">
        <v>319</v>
      </c>
      <c r="B320" t="n">
        <v>2</v>
      </c>
      <c r="C320" t="n">
        <v>16</v>
      </c>
      <c r="D320" t="n">
        <v>2</v>
      </c>
      <c r="E320" t="n">
        <v>65</v>
      </c>
      <c r="F320" t="n">
        <v>1</v>
      </c>
      <c r="G320" t="n">
        <v>122</v>
      </c>
      <c r="H320" t="n">
        <v>0</v>
      </c>
      <c r="I320" t="n">
        <v>350</v>
      </c>
      <c r="J320" t="n">
        <v>0.695161</v>
      </c>
      <c r="K320">
        <f>RANK(J320,$J$2:$J$601,1)</f>
        <v/>
      </c>
      <c r="L320">
        <f>IF(K320&lt;=60,1,0)</f>
        <v/>
      </c>
      <c r="M320">
        <f>IF(MOD(A320-7,10)=0,1,0)</f>
        <v/>
      </c>
      <c r="N320">
        <f>COUNTIFS($B$2:$B$601,B320,$J$2:$J$601,"&lt;"&amp;J320)+1</f>
        <v/>
      </c>
      <c r="O320">
        <f>ROUND(COUNTIF($B$2:$B$601,B320)/600*60,0)</f>
        <v/>
      </c>
      <c r="P320">
        <f>IF(N320&lt;=O320,1,0)</f>
        <v/>
      </c>
      <c r="Q320">
        <f>IF(OR(C320=4,C320=15,C320=27),1,0)</f>
        <v/>
      </c>
      <c r="R320">
        <f>IF(I320&lt;=60,1,0)</f>
        <v/>
      </c>
    </row>
    <row r="321">
      <c r="A321" t="n">
        <v>320</v>
      </c>
      <c r="B321" t="n">
        <v>2</v>
      </c>
      <c r="C321" t="n">
        <v>16</v>
      </c>
      <c r="D321" t="n">
        <v>1</v>
      </c>
      <c r="E321" t="n">
        <v>68</v>
      </c>
      <c r="F321" t="n">
        <v>0</v>
      </c>
      <c r="G321" t="n">
        <v>136</v>
      </c>
      <c r="H321" t="n">
        <v>0</v>
      </c>
      <c r="I321" t="n">
        <v>556</v>
      </c>
      <c r="J321" t="n">
        <v>0.588012</v>
      </c>
      <c r="K321">
        <f>RANK(J321,$J$2:$J$601,1)</f>
        <v/>
      </c>
      <c r="L321">
        <f>IF(K321&lt;=60,1,0)</f>
        <v/>
      </c>
      <c r="M321">
        <f>IF(MOD(A321-7,10)=0,1,0)</f>
        <v/>
      </c>
      <c r="N321">
        <f>COUNTIFS($B$2:$B$601,B321,$J$2:$J$601,"&lt;"&amp;J321)+1</f>
        <v/>
      </c>
      <c r="O321">
        <f>ROUND(COUNTIF($B$2:$B$601,B321)/600*60,0)</f>
        <v/>
      </c>
      <c r="P321">
        <f>IF(N321&lt;=O321,1,0)</f>
        <v/>
      </c>
      <c r="Q321">
        <f>IF(OR(C321=4,C321=15,C321=27),1,0)</f>
        <v/>
      </c>
      <c r="R321">
        <f>IF(I321&lt;=60,1,0)</f>
        <v/>
      </c>
    </row>
    <row r="322">
      <c r="A322" t="n">
        <v>321</v>
      </c>
      <c r="B322" t="n">
        <v>2</v>
      </c>
      <c r="C322" t="n">
        <v>17</v>
      </c>
      <c r="D322" t="n">
        <v>1</v>
      </c>
      <c r="E322" t="n">
        <v>71</v>
      </c>
      <c r="F322" t="n">
        <v>0</v>
      </c>
      <c r="G322" t="n">
        <v>121</v>
      </c>
      <c r="H322" t="n">
        <v>0</v>
      </c>
      <c r="I322" t="n">
        <v>178</v>
      </c>
      <c r="J322" t="n">
        <v>0.87429</v>
      </c>
      <c r="K322">
        <f>RANK(J322,$J$2:$J$601,1)</f>
        <v/>
      </c>
      <c r="L322">
        <f>IF(K322&lt;=60,1,0)</f>
        <v/>
      </c>
      <c r="M322">
        <f>IF(MOD(A322-7,10)=0,1,0)</f>
        <v/>
      </c>
      <c r="N322">
        <f>COUNTIFS($B$2:$B$601,B322,$J$2:$J$601,"&lt;"&amp;J322)+1</f>
        <v/>
      </c>
      <c r="O322">
        <f>ROUND(COUNTIF($B$2:$B$601,B322)/600*60,0)</f>
        <v/>
      </c>
      <c r="P322">
        <f>IF(N322&lt;=O322,1,0)</f>
        <v/>
      </c>
      <c r="Q322">
        <f>IF(OR(C322=4,C322=15,C322=27),1,0)</f>
        <v/>
      </c>
      <c r="R322">
        <f>IF(I322&lt;=60,1,0)</f>
        <v/>
      </c>
    </row>
    <row r="323">
      <c r="A323" t="n">
        <v>322</v>
      </c>
      <c r="B323" t="n">
        <v>2</v>
      </c>
      <c r="C323" t="n">
        <v>17</v>
      </c>
      <c r="D323" t="n">
        <v>2</v>
      </c>
      <c r="E323" t="n">
        <v>69</v>
      </c>
      <c r="F323" t="n">
        <v>0</v>
      </c>
      <c r="G323" t="n">
        <v>146</v>
      </c>
      <c r="H323" t="n">
        <v>1</v>
      </c>
      <c r="I323" t="n">
        <v>32</v>
      </c>
      <c r="J323" t="n">
        <v>0.04989</v>
      </c>
      <c r="K323">
        <f>RANK(J323,$J$2:$J$601,1)</f>
        <v/>
      </c>
      <c r="L323">
        <f>IF(K323&lt;=60,1,0)</f>
        <v/>
      </c>
      <c r="M323">
        <f>IF(MOD(A323-7,10)=0,1,0)</f>
        <v/>
      </c>
      <c r="N323">
        <f>COUNTIFS($B$2:$B$601,B323,$J$2:$J$601,"&lt;"&amp;J323)+1</f>
        <v/>
      </c>
      <c r="O323">
        <f>ROUND(COUNTIF($B$2:$B$601,B323)/600*60,0)</f>
        <v/>
      </c>
      <c r="P323">
        <f>IF(N323&lt;=O323,1,0)</f>
        <v/>
      </c>
      <c r="Q323">
        <f>IF(OR(C323=4,C323=15,C323=27),1,0)</f>
        <v/>
      </c>
      <c r="R323">
        <f>IF(I323&lt;=60,1,0)</f>
        <v/>
      </c>
    </row>
    <row r="324">
      <c r="A324" t="n">
        <v>323</v>
      </c>
      <c r="B324" t="n">
        <v>2</v>
      </c>
      <c r="C324" t="n">
        <v>17</v>
      </c>
      <c r="D324" t="n">
        <v>1</v>
      </c>
      <c r="E324" t="n">
        <v>45</v>
      </c>
      <c r="F324" t="n">
        <v>0</v>
      </c>
      <c r="G324" t="n">
        <v>130</v>
      </c>
      <c r="H324" t="n">
        <v>0</v>
      </c>
      <c r="I324" t="n">
        <v>353</v>
      </c>
      <c r="J324" t="n">
        <v>0.40857</v>
      </c>
      <c r="K324">
        <f>RANK(J324,$J$2:$J$601,1)</f>
        <v/>
      </c>
      <c r="L324">
        <f>IF(K324&lt;=60,1,0)</f>
        <v/>
      </c>
      <c r="M324">
        <f>IF(MOD(A324-7,10)=0,1,0)</f>
        <v/>
      </c>
      <c r="N324">
        <f>COUNTIFS($B$2:$B$601,B324,$J$2:$J$601,"&lt;"&amp;J324)+1</f>
        <v/>
      </c>
      <c r="O324">
        <f>ROUND(COUNTIF($B$2:$B$601,B324)/600*60,0)</f>
        <v/>
      </c>
      <c r="P324">
        <f>IF(N324&lt;=O324,1,0)</f>
        <v/>
      </c>
      <c r="Q324">
        <f>IF(OR(C324=4,C324=15,C324=27),1,0)</f>
        <v/>
      </c>
      <c r="R324">
        <f>IF(I324&lt;=60,1,0)</f>
        <v/>
      </c>
    </row>
    <row r="325">
      <c r="A325" t="n">
        <v>324</v>
      </c>
      <c r="B325" t="n">
        <v>2</v>
      </c>
      <c r="C325" t="n">
        <v>17</v>
      </c>
      <c r="D325" t="n">
        <v>2</v>
      </c>
      <c r="E325" t="n">
        <v>65</v>
      </c>
      <c r="F325" t="n">
        <v>0</v>
      </c>
      <c r="G325" t="n">
        <v>112</v>
      </c>
      <c r="H325" t="n">
        <v>0</v>
      </c>
      <c r="I325" t="n">
        <v>330</v>
      </c>
      <c r="J325" t="n">
        <v>0.29115</v>
      </c>
      <c r="K325">
        <f>RANK(J325,$J$2:$J$601,1)</f>
        <v/>
      </c>
      <c r="L325">
        <f>IF(K325&lt;=60,1,0)</f>
        <v/>
      </c>
      <c r="M325">
        <f>IF(MOD(A325-7,10)=0,1,0)</f>
        <v/>
      </c>
      <c r="N325">
        <f>COUNTIFS($B$2:$B$601,B325,$J$2:$J$601,"&lt;"&amp;J325)+1</f>
        <v/>
      </c>
      <c r="O325">
        <f>ROUND(COUNTIF($B$2:$B$601,B325)/600*60,0)</f>
        <v/>
      </c>
      <c r="P325">
        <f>IF(N325&lt;=O325,1,0)</f>
        <v/>
      </c>
      <c r="Q325">
        <f>IF(OR(C325=4,C325=15,C325=27),1,0)</f>
        <v/>
      </c>
      <c r="R325">
        <f>IF(I325&lt;=60,1,0)</f>
        <v/>
      </c>
    </row>
    <row r="326">
      <c r="A326" t="n">
        <v>325</v>
      </c>
      <c r="B326" t="n">
        <v>2</v>
      </c>
      <c r="C326" t="n">
        <v>17</v>
      </c>
      <c r="D326" t="n">
        <v>2</v>
      </c>
      <c r="E326" t="n">
        <v>70</v>
      </c>
      <c r="F326" t="n">
        <v>0</v>
      </c>
      <c r="G326" t="n">
        <v>145</v>
      </c>
      <c r="H326" t="n">
        <v>1</v>
      </c>
      <c r="I326" t="n">
        <v>69</v>
      </c>
      <c r="J326" t="n">
        <v>0.137513</v>
      </c>
      <c r="K326">
        <f>RANK(J326,$J$2:$J$601,1)</f>
        <v/>
      </c>
      <c r="L326">
        <f>IF(K326&lt;=60,1,0)</f>
        <v/>
      </c>
      <c r="M326">
        <f>IF(MOD(A326-7,10)=0,1,0)</f>
        <v/>
      </c>
      <c r="N326">
        <f>COUNTIFS($B$2:$B$601,B326,$J$2:$J$601,"&lt;"&amp;J326)+1</f>
        <v/>
      </c>
      <c r="O326">
        <f>ROUND(COUNTIF($B$2:$B$601,B326)/600*60,0)</f>
        <v/>
      </c>
      <c r="P326">
        <f>IF(N326&lt;=O326,1,0)</f>
        <v/>
      </c>
      <c r="Q326">
        <f>IF(OR(C326=4,C326=15,C326=27),1,0)</f>
        <v/>
      </c>
      <c r="R326">
        <f>IF(I326&lt;=60,1,0)</f>
        <v/>
      </c>
    </row>
    <row r="327">
      <c r="A327" t="n">
        <v>326</v>
      </c>
      <c r="B327" t="n">
        <v>2</v>
      </c>
      <c r="C327" t="n">
        <v>17</v>
      </c>
      <c r="D327" t="n">
        <v>1</v>
      </c>
      <c r="E327" t="n">
        <v>63</v>
      </c>
      <c r="F327" t="n">
        <v>1</v>
      </c>
      <c r="G327" t="n">
        <v>132</v>
      </c>
      <c r="H327" t="n">
        <v>0</v>
      </c>
      <c r="I327" t="n">
        <v>329</v>
      </c>
      <c r="J327" t="n">
        <v>0.55943</v>
      </c>
      <c r="K327">
        <f>RANK(J327,$J$2:$J$601,1)</f>
        <v/>
      </c>
      <c r="L327">
        <f>IF(K327&lt;=60,1,0)</f>
        <v/>
      </c>
      <c r="M327">
        <f>IF(MOD(A327-7,10)=0,1,0)</f>
        <v/>
      </c>
      <c r="N327">
        <f>COUNTIFS($B$2:$B$601,B327,$J$2:$J$601,"&lt;"&amp;J327)+1</f>
        <v/>
      </c>
      <c r="O327">
        <f>ROUND(COUNTIF($B$2:$B$601,B327)/600*60,0)</f>
        <v/>
      </c>
      <c r="P327">
        <f>IF(N327&lt;=O327,1,0)</f>
        <v/>
      </c>
      <c r="Q327">
        <f>IF(OR(C327=4,C327=15,C327=27),1,0)</f>
        <v/>
      </c>
      <c r="R327">
        <f>IF(I327&lt;=60,1,0)</f>
        <v/>
      </c>
    </row>
    <row r="328">
      <c r="A328" t="n">
        <v>327</v>
      </c>
      <c r="B328" t="n">
        <v>2</v>
      </c>
      <c r="C328" t="n">
        <v>17</v>
      </c>
      <c r="D328" t="n">
        <v>2</v>
      </c>
      <c r="E328" t="n">
        <v>79</v>
      </c>
      <c r="F328" t="n">
        <v>0</v>
      </c>
      <c r="G328" t="n">
        <v>141</v>
      </c>
      <c r="H328" t="n">
        <v>1</v>
      </c>
      <c r="I328" t="n">
        <v>48</v>
      </c>
      <c r="J328" t="n">
        <v>0.053606</v>
      </c>
      <c r="K328">
        <f>RANK(J328,$J$2:$J$601,1)</f>
        <v/>
      </c>
      <c r="L328">
        <f>IF(K328&lt;=60,1,0)</f>
        <v/>
      </c>
      <c r="M328">
        <f>IF(MOD(A328-7,10)=0,1,0)</f>
        <v/>
      </c>
      <c r="N328">
        <f>COUNTIFS($B$2:$B$601,B328,$J$2:$J$601,"&lt;"&amp;J328)+1</f>
        <v/>
      </c>
      <c r="O328">
        <f>ROUND(COUNTIF($B$2:$B$601,B328)/600*60,0)</f>
        <v/>
      </c>
      <c r="P328">
        <f>IF(N328&lt;=O328,1,0)</f>
        <v/>
      </c>
      <c r="Q328">
        <f>IF(OR(C328=4,C328=15,C328=27),1,0)</f>
        <v/>
      </c>
      <c r="R328">
        <f>IF(I328&lt;=60,1,0)</f>
        <v/>
      </c>
    </row>
    <row r="329">
      <c r="A329" t="n">
        <v>328</v>
      </c>
      <c r="B329" t="n">
        <v>2</v>
      </c>
      <c r="C329" t="n">
        <v>17</v>
      </c>
      <c r="D329" t="n">
        <v>2</v>
      </c>
      <c r="E329" t="n">
        <v>58</v>
      </c>
      <c r="F329" t="n">
        <v>1</v>
      </c>
      <c r="G329" t="n">
        <v>141</v>
      </c>
      <c r="H329" t="n">
        <v>1</v>
      </c>
      <c r="I329" t="n">
        <v>205</v>
      </c>
      <c r="J329" t="n">
        <v>0.510969</v>
      </c>
      <c r="K329">
        <f>RANK(J329,$J$2:$J$601,1)</f>
        <v/>
      </c>
      <c r="L329">
        <f>IF(K329&lt;=60,1,0)</f>
        <v/>
      </c>
      <c r="M329">
        <f>IF(MOD(A329-7,10)=0,1,0)</f>
        <v/>
      </c>
      <c r="N329">
        <f>COUNTIFS($B$2:$B$601,B329,$J$2:$J$601,"&lt;"&amp;J329)+1</f>
        <v/>
      </c>
      <c r="O329">
        <f>ROUND(COUNTIF($B$2:$B$601,B329)/600*60,0)</f>
        <v/>
      </c>
      <c r="P329">
        <f>IF(N329&lt;=O329,1,0)</f>
        <v/>
      </c>
      <c r="Q329">
        <f>IF(OR(C329=4,C329=15,C329=27),1,0)</f>
        <v/>
      </c>
      <c r="R329">
        <f>IF(I329&lt;=60,1,0)</f>
        <v/>
      </c>
    </row>
    <row r="330">
      <c r="A330" t="n">
        <v>329</v>
      </c>
      <c r="B330" t="n">
        <v>2</v>
      </c>
      <c r="C330" t="n">
        <v>17</v>
      </c>
      <c r="D330" t="n">
        <v>2</v>
      </c>
      <c r="E330" t="n">
        <v>57</v>
      </c>
      <c r="F330" t="n">
        <v>1</v>
      </c>
      <c r="G330" t="n">
        <v>135</v>
      </c>
      <c r="H330" t="n">
        <v>0</v>
      </c>
      <c r="I330" t="n">
        <v>363</v>
      </c>
      <c r="J330" t="n">
        <v>0.349992</v>
      </c>
      <c r="K330">
        <f>RANK(J330,$J$2:$J$601,1)</f>
        <v/>
      </c>
      <c r="L330">
        <f>IF(K330&lt;=60,1,0)</f>
        <v/>
      </c>
      <c r="M330">
        <f>IF(MOD(A330-7,10)=0,1,0)</f>
        <v/>
      </c>
      <c r="N330">
        <f>COUNTIFS($B$2:$B$601,B330,$J$2:$J$601,"&lt;"&amp;J330)+1</f>
        <v/>
      </c>
      <c r="O330">
        <f>ROUND(COUNTIF($B$2:$B$601,B330)/600*60,0)</f>
        <v/>
      </c>
      <c r="P330">
        <f>IF(N330&lt;=O330,1,0)</f>
        <v/>
      </c>
      <c r="Q330">
        <f>IF(OR(C330=4,C330=15,C330=27),1,0)</f>
        <v/>
      </c>
      <c r="R330">
        <f>IF(I330&lt;=60,1,0)</f>
        <v/>
      </c>
    </row>
    <row r="331">
      <c r="A331" t="n">
        <v>330</v>
      </c>
      <c r="B331" t="n">
        <v>2</v>
      </c>
      <c r="C331" t="n">
        <v>17</v>
      </c>
      <c r="D331" t="n">
        <v>1</v>
      </c>
      <c r="E331" t="n">
        <v>61</v>
      </c>
      <c r="F331" t="n">
        <v>0</v>
      </c>
      <c r="G331" t="n">
        <v>134</v>
      </c>
      <c r="H331" t="n">
        <v>0</v>
      </c>
      <c r="I331" t="n">
        <v>160</v>
      </c>
      <c r="J331" t="n">
        <v>0.394546</v>
      </c>
      <c r="K331">
        <f>RANK(J331,$J$2:$J$601,1)</f>
        <v/>
      </c>
      <c r="L331">
        <f>IF(K331&lt;=60,1,0)</f>
        <v/>
      </c>
      <c r="M331">
        <f>IF(MOD(A331-7,10)=0,1,0)</f>
        <v/>
      </c>
      <c r="N331">
        <f>COUNTIFS($B$2:$B$601,B331,$J$2:$J$601,"&lt;"&amp;J331)+1</f>
        <v/>
      </c>
      <c r="O331">
        <f>ROUND(COUNTIF($B$2:$B$601,B331)/600*60,0)</f>
        <v/>
      </c>
      <c r="P331">
        <f>IF(N331&lt;=O331,1,0)</f>
        <v/>
      </c>
      <c r="Q331">
        <f>IF(OR(C331=4,C331=15,C331=27),1,0)</f>
        <v/>
      </c>
      <c r="R331">
        <f>IF(I331&lt;=60,1,0)</f>
        <v/>
      </c>
    </row>
    <row r="332">
      <c r="A332" t="n">
        <v>331</v>
      </c>
      <c r="B332" t="n">
        <v>2</v>
      </c>
      <c r="C332" t="n">
        <v>17</v>
      </c>
      <c r="D332" t="n">
        <v>1</v>
      </c>
      <c r="E332" t="n">
        <v>35</v>
      </c>
      <c r="F332" t="n">
        <v>0</v>
      </c>
      <c r="G332" t="n">
        <v>123</v>
      </c>
      <c r="H332" t="n">
        <v>0</v>
      </c>
      <c r="I332" t="n">
        <v>544</v>
      </c>
      <c r="J332" t="n">
        <v>0.411407</v>
      </c>
      <c r="K332">
        <f>RANK(J332,$J$2:$J$601,1)</f>
        <v/>
      </c>
      <c r="L332">
        <f>IF(K332&lt;=60,1,0)</f>
        <v/>
      </c>
      <c r="M332">
        <f>IF(MOD(A332-7,10)=0,1,0)</f>
        <v/>
      </c>
      <c r="N332">
        <f>COUNTIFS($B$2:$B$601,B332,$J$2:$J$601,"&lt;"&amp;J332)+1</f>
        <v/>
      </c>
      <c r="O332">
        <f>ROUND(COUNTIF($B$2:$B$601,B332)/600*60,0)</f>
        <v/>
      </c>
      <c r="P332">
        <f>IF(N332&lt;=O332,1,0)</f>
        <v/>
      </c>
      <c r="Q332">
        <f>IF(OR(C332=4,C332=15,C332=27),1,0)</f>
        <v/>
      </c>
      <c r="R332">
        <f>IF(I332&lt;=60,1,0)</f>
        <v/>
      </c>
    </row>
    <row r="333">
      <c r="A333" t="n">
        <v>332</v>
      </c>
      <c r="B333" t="n">
        <v>2</v>
      </c>
      <c r="C333" t="n">
        <v>17</v>
      </c>
      <c r="D333" t="n">
        <v>1</v>
      </c>
      <c r="E333" t="n">
        <v>50</v>
      </c>
      <c r="F333" t="n">
        <v>0</v>
      </c>
      <c r="G333" t="n">
        <v>122</v>
      </c>
      <c r="H333" t="n">
        <v>0</v>
      </c>
      <c r="I333" t="n">
        <v>566</v>
      </c>
      <c r="J333" t="n">
        <v>0.047894</v>
      </c>
      <c r="K333">
        <f>RANK(J333,$J$2:$J$601,1)</f>
        <v/>
      </c>
      <c r="L333">
        <f>IF(K333&lt;=60,1,0)</f>
        <v/>
      </c>
      <c r="M333">
        <f>IF(MOD(A333-7,10)=0,1,0)</f>
        <v/>
      </c>
      <c r="N333">
        <f>COUNTIFS($B$2:$B$601,B333,$J$2:$J$601,"&lt;"&amp;J333)+1</f>
        <v/>
      </c>
      <c r="O333">
        <f>ROUND(COUNTIF($B$2:$B$601,B333)/600*60,0)</f>
        <v/>
      </c>
      <c r="P333">
        <f>IF(N333&lt;=O333,1,0)</f>
        <v/>
      </c>
      <c r="Q333">
        <f>IF(OR(C333=4,C333=15,C333=27),1,0)</f>
        <v/>
      </c>
      <c r="R333">
        <f>IF(I333&lt;=60,1,0)</f>
        <v/>
      </c>
    </row>
    <row r="334">
      <c r="A334" t="n">
        <v>333</v>
      </c>
      <c r="B334" t="n">
        <v>2</v>
      </c>
      <c r="C334" t="n">
        <v>17</v>
      </c>
      <c r="D334" t="n">
        <v>2</v>
      </c>
      <c r="E334" t="n">
        <v>80</v>
      </c>
      <c r="F334" t="n">
        <v>1</v>
      </c>
      <c r="G334" t="n">
        <v>143</v>
      </c>
      <c r="H334" t="n">
        <v>1</v>
      </c>
      <c r="I334" t="n">
        <v>77</v>
      </c>
      <c r="J334" t="n">
        <v>0.8437519999999999</v>
      </c>
      <c r="K334">
        <f>RANK(J334,$J$2:$J$601,1)</f>
        <v/>
      </c>
      <c r="L334">
        <f>IF(K334&lt;=60,1,0)</f>
        <v/>
      </c>
      <c r="M334">
        <f>IF(MOD(A334-7,10)=0,1,0)</f>
        <v/>
      </c>
      <c r="N334">
        <f>COUNTIFS($B$2:$B$601,B334,$J$2:$J$601,"&lt;"&amp;J334)+1</f>
        <v/>
      </c>
      <c r="O334">
        <f>ROUND(COUNTIF($B$2:$B$601,B334)/600*60,0)</f>
        <v/>
      </c>
      <c r="P334">
        <f>IF(N334&lt;=O334,1,0)</f>
        <v/>
      </c>
      <c r="Q334">
        <f>IF(OR(C334=4,C334=15,C334=27),1,0)</f>
        <v/>
      </c>
      <c r="R334">
        <f>IF(I334&lt;=60,1,0)</f>
        <v/>
      </c>
    </row>
    <row r="335">
      <c r="A335" t="n">
        <v>334</v>
      </c>
      <c r="B335" t="n">
        <v>2</v>
      </c>
      <c r="C335" t="n">
        <v>17</v>
      </c>
      <c r="D335" t="n">
        <v>2</v>
      </c>
      <c r="E335" t="n">
        <v>53</v>
      </c>
      <c r="F335" t="n">
        <v>0</v>
      </c>
      <c r="G335" t="n">
        <v>129</v>
      </c>
      <c r="H335" t="n">
        <v>0</v>
      </c>
      <c r="I335" t="n">
        <v>50</v>
      </c>
      <c r="J335" t="n">
        <v>0.07519199999999999</v>
      </c>
      <c r="K335">
        <f>RANK(J335,$J$2:$J$601,1)</f>
        <v/>
      </c>
      <c r="L335">
        <f>IF(K335&lt;=60,1,0)</f>
        <v/>
      </c>
      <c r="M335">
        <f>IF(MOD(A335-7,10)=0,1,0)</f>
        <v/>
      </c>
      <c r="N335">
        <f>COUNTIFS($B$2:$B$601,B335,$J$2:$J$601,"&lt;"&amp;J335)+1</f>
        <v/>
      </c>
      <c r="O335">
        <f>ROUND(COUNTIF($B$2:$B$601,B335)/600*60,0)</f>
        <v/>
      </c>
      <c r="P335">
        <f>IF(N335&lt;=O335,1,0)</f>
        <v/>
      </c>
      <c r="Q335">
        <f>IF(OR(C335=4,C335=15,C335=27),1,0)</f>
        <v/>
      </c>
      <c r="R335">
        <f>IF(I335&lt;=60,1,0)</f>
        <v/>
      </c>
    </row>
    <row r="336">
      <c r="A336" t="n">
        <v>335</v>
      </c>
      <c r="B336" t="n">
        <v>2</v>
      </c>
      <c r="C336" t="n">
        <v>17</v>
      </c>
      <c r="D336" t="n">
        <v>2</v>
      </c>
      <c r="E336" t="n">
        <v>51</v>
      </c>
      <c r="F336" t="n">
        <v>0</v>
      </c>
      <c r="G336" t="n">
        <v>118</v>
      </c>
      <c r="H336" t="n">
        <v>0</v>
      </c>
      <c r="I336" t="n">
        <v>317</v>
      </c>
      <c r="J336" t="n">
        <v>0.611223</v>
      </c>
      <c r="K336">
        <f>RANK(J336,$J$2:$J$601,1)</f>
        <v/>
      </c>
      <c r="L336">
        <f>IF(K336&lt;=60,1,0)</f>
        <v/>
      </c>
      <c r="M336">
        <f>IF(MOD(A336-7,10)=0,1,0)</f>
        <v/>
      </c>
      <c r="N336">
        <f>COUNTIFS($B$2:$B$601,B336,$J$2:$J$601,"&lt;"&amp;J336)+1</f>
        <v/>
      </c>
      <c r="O336">
        <f>ROUND(COUNTIF($B$2:$B$601,B336)/600*60,0)</f>
        <v/>
      </c>
      <c r="P336">
        <f>IF(N336&lt;=O336,1,0)</f>
        <v/>
      </c>
      <c r="Q336">
        <f>IF(OR(C336=4,C336=15,C336=27),1,0)</f>
        <v/>
      </c>
      <c r="R336">
        <f>IF(I336&lt;=60,1,0)</f>
        <v/>
      </c>
    </row>
    <row r="337">
      <c r="A337" t="n">
        <v>336</v>
      </c>
      <c r="B337" t="n">
        <v>2</v>
      </c>
      <c r="C337" t="n">
        <v>17</v>
      </c>
      <c r="D337" t="n">
        <v>2</v>
      </c>
      <c r="E337" t="n">
        <v>48</v>
      </c>
      <c r="F337" t="n">
        <v>1</v>
      </c>
      <c r="G337" t="n">
        <v>139</v>
      </c>
      <c r="H337" t="n">
        <v>0</v>
      </c>
      <c r="I337" t="n">
        <v>338</v>
      </c>
      <c r="J337" t="n">
        <v>0.195698</v>
      </c>
      <c r="K337">
        <f>RANK(J337,$J$2:$J$601,1)</f>
        <v/>
      </c>
      <c r="L337">
        <f>IF(K337&lt;=60,1,0)</f>
        <v/>
      </c>
      <c r="M337">
        <f>IF(MOD(A337-7,10)=0,1,0)</f>
        <v/>
      </c>
      <c r="N337">
        <f>COUNTIFS($B$2:$B$601,B337,$J$2:$J$601,"&lt;"&amp;J337)+1</f>
        <v/>
      </c>
      <c r="O337">
        <f>ROUND(COUNTIF($B$2:$B$601,B337)/600*60,0)</f>
        <v/>
      </c>
      <c r="P337">
        <f>IF(N337&lt;=O337,1,0)</f>
        <v/>
      </c>
      <c r="Q337">
        <f>IF(OR(C337=4,C337=15,C337=27),1,0)</f>
        <v/>
      </c>
      <c r="R337">
        <f>IF(I337&lt;=60,1,0)</f>
        <v/>
      </c>
    </row>
    <row r="338">
      <c r="A338" t="n">
        <v>337</v>
      </c>
      <c r="B338" t="n">
        <v>2</v>
      </c>
      <c r="C338" t="n">
        <v>17</v>
      </c>
      <c r="D338" t="n">
        <v>2</v>
      </c>
      <c r="E338" t="n">
        <v>34</v>
      </c>
      <c r="F338" t="n">
        <v>0</v>
      </c>
      <c r="G338" t="n">
        <v>105</v>
      </c>
      <c r="H338" t="n">
        <v>0</v>
      </c>
      <c r="I338" t="n">
        <v>591</v>
      </c>
      <c r="J338" t="n">
        <v>0.138825</v>
      </c>
      <c r="K338">
        <f>RANK(J338,$J$2:$J$601,1)</f>
        <v/>
      </c>
      <c r="L338">
        <f>IF(K338&lt;=60,1,0)</f>
        <v/>
      </c>
      <c r="M338">
        <f>IF(MOD(A338-7,10)=0,1,0)</f>
        <v/>
      </c>
      <c r="N338">
        <f>COUNTIFS($B$2:$B$601,B338,$J$2:$J$601,"&lt;"&amp;J338)+1</f>
        <v/>
      </c>
      <c r="O338">
        <f>ROUND(COUNTIF($B$2:$B$601,B338)/600*60,0)</f>
        <v/>
      </c>
      <c r="P338">
        <f>IF(N338&lt;=O338,1,0)</f>
        <v/>
      </c>
      <c r="Q338">
        <f>IF(OR(C338=4,C338=15,C338=27),1,0)</f>
        <v/>
      </c>
      <c r="R338">
        <f>IF(I338&lt;=60,1,0)</f>
        <v/>
      </c>
    </row>
    <row r="339">
      <c r="A339" t="n">
        <v>338</v>
      </c>
      <c r="B339" t="n">
        <v>2</v>
      </c>
      <c r="C339" t="n">
        <v>17</v>
      </c>
      <c r="D339" t="n">
        <v>2</v>
      </c>
      <c r="E339" t="n">
        <v>70</v>
      </c>
      <c r="F339" t="n">
        <v>0</v>
      </c>
      <c r="G339" t="n">
        <v>132</v>
      </c>
      <c r="H339" t="n">
        <v>0</v>
      </c>
      <c r="I339" t="n">
        <v>233</v>
      </c>
      <c r="J339" t="n">
        <v>0.957838</v>
      </c>
      <c r="K339">
        <f>RANK(J339,$J$2:$J$601,1)</f>
        <v/>
      </c>
      <c r="L339">
        <f>IF(K339&lt;=60,1,0)</f>
        <v/>
      </c>
      <c r="M339">
        <f>IF(MOD(A339-7,10)=0,1,0)</f>
        <v/>
      </c>
      <c r="N339">
        <f>COUNTIFS($B$2:$B$601,B339,$J$2:$J$601,"&lt;"&amp;J339)+1</f>
        <v/>
      </c>
      <c r="O339">
        <f>ROUND(COUNTIF($B$2:$B$601,B339)/600*60,0)</f>
        <v/>
      </c>
      <c r="P339">
        <f>IF(N339&lt;=O339,1,0)</f>
        <v/>
      </c>
      <c r="Q339">
        <f>IF(OR(C339=4,C339=15,C339=27),1,0)</f>
        <v/>
      </c>
      <c r="R339">
        <f>IF(I339&lt;=60,1,0)</f>
        <v/>
      </c>
    </row>
    <row r="340">
      <c r="A340" t="n">
        <v>339</v>
      </c>
      <c r="B340" t="n">
        <v>2</v>
      </c>
      <c r="C340" t="n">
        <v>17</v>
      </c>
      <c r="D340" t="n">
        <v>2</v>
      </c>
      <c r="E340" t="n">
        <v>48</v>
      </c>
      <c r="F340" t="n">
        <v>0</v>
      </c>
      <c r="G340" t="n">
        <v>113</v>
      </c>
      <c r="H340" t="n">
        <v>0</v>
      </c>
      <c r="I340" t="n">
        <v>494</v>
      </c>
      <c r="J340" t="n">
        <v>0.272992</v>
      </c>
      <c r="K340">
        <f>RANK(J340,$J$2:$J$601,1)</f>
        <v/>
      </c>
      <c r="L340">
        <f>IF(K340&lt;=60,1,0)</f>
        <v/>
      </c>
      <c r="M340">
        <f>IF(MOD(A340-7,10)=0,1,0)</f>
        <v/>
      </c>
      <c r="N340">
        <f>COUNTIFS($B$2:$B$601,B340,$J$2:$J$601,"&lt;"&amp;J340)+1</f>
        <v/>
      </c>
      <c r="O340">
        <f>ROUND(COUNTIF($B$2:$B$601,B340)/600*60,0)</f>
        <v/>
      </c>
      <c r="P340">
        <f>IF(N340&lt;=O340,1,0)</f>
        <v/>
      </c>
      <c r="Q340">
        <f>IF(OR(C340=4,C340=15,C340=27),1,0)</f>
        <v/>
      </c>
      <c r="R340">
        <f>IF(I340&lt;=60,1,0)</f>
        <v/>
      </c>
    </row>
    <row r="341">
      <c r="A341" t="n">
        <v>340</v>
      </c>
      <c r="B341" t="n">
        <v>2</v>
      </c>
      <c r="C341" t="n">
        <v>17</v>
      </c>
      <c r="D341" t="n">
        <v>1</v>
      </c>
      <c r="E341" t="n">
        <v>54</v>
      </c>
      <c r="F341" t="n">
        <v>0</v>
      </c>
      <c r="G341" t="n">
        <v>121</v>
      </c>
      <c r="H341" t="n">
        <v>0</v>
      </c>
      <c r="I341" t="n">
        <v>424</v>
      </c>
      <c r="J341" t="n">
        <v>0.168857</v>
      </c>
      <c r="K341">
        <f>RANK(J341,$J$2:$J$601,1)</f>
        <v/>
      </c>
      <c r="L341">
        <f>IF(K341&lt;=60,1,0)</f>
        <v/>
      </c>
      <c r="M341">
        <f>IF(MOD(A341-7,10)=0,1,0)</f>
        <v/>
      </c>
      <c r="N341">
        <f>COUNTIFS($B$2:$B$601,B341,$J$2:$J$601,"&lt;"&amp;J341)+1</f>
        <v/>
      </c>
      <c r="O341">
        <f>ROUND(COUNTIF($B$2:$B$601,B341)/600*60,0)</f>
        <v/>
      </c>
      <c r="P341">
        <f>IF(N341&lt;=O341,1,0)</f>
        <v/>
      </c>
      <c r="Q341">
        <f>IF(OR(C341=4,C341=15,C341=27),1,0)</f>
        <v/>
      </c>
      <c r="R341">
        <f>IF(I341&lt;=60,1,0)</f>
        <v/>
      </c>
    </row>
    <row r="342">
      <c r="A342" t="n">
        <v>341</v>
      </c>
      <c r="B342" t="n">
        <v>2</v>
      </c>
      <c r="C342" t="n">
        <v>18</v>
      </c>
      <c r="D342" t="n">
        <v>2</v>
      </c>
      <c r="E342" t="n">
        <v>59</v>
      </c>
      <c r="F342" t="n">
        <v>0</v>
      </c>
      <c r="G342" t="n">
        <v>132</v>
      </c>
      <c r="H342" t="n">
        <v>0</v>
      </c>
      <c r="I342" t="n">
        <v>411</v>
      </c>
      <c r="J342" t="n">
        <v>0.669646</v>
      </c>
      <c r="K342">
        <f>RANK(J342,$J$2:$J$601,1)</f>
        <v/>
      </c>
      <c r="L342">
        <f>IF(K342&lt;=60,1,0)</f>
        <v/>
      </c>
      <c r="M342">
        <f>IF(MOD(A342-7,10)=0,1,0)</f>
        <v/>
      </c>
      <c r="N342">
        <f>COUNTIFS($B$2:$B$601,B342,$J$2:$J$601,"&lt;"&amp;J342)+1</f>
        <v/>
      </c>
      <c r="O342">
        <f>ROUND(COUNTIF($B$2:$B$601,B342)/600*60,0)</f>
        <v/>
      </c>
      <c r="P342">
        <f>IF(N342&lt;=O342,1,0)</f>
        <v/>
      </c>
      <c r="Q342">
        <f>IF(OR(C342=4,C342=15,C342=27),1,0)</f>
        <v/>
      </c>
      <c r="R342">
        <f>IF(I342&lt;=60,1,0)</f>
        <v/>
      </c>
    </row>
    <row r="343">
      <c r="A343" t="n">
        <v>342</v>
      </c>
      <c r="B343" t="n">
        <v>2</v>
      </c>
      <c r="C343" t="n">
        <v>18</v>
      </c>
      <c r="D343" t="n">
        <v>1</v>
      </c>
      <c r="E343" t="n">
        <v>71</v>
      </c>
      <c r="F343" t="n">
        <v>0</v>
      </c>
      <c r="G343" t="n">
        <v>146</v>
      </c>
      <c r="H343" t="n">
        <v>1</v>
      </c>
      <c r="I343" t="n">
        <v>19</v>
      </c>
      <c r="J343" t="n">
        <v>0.5840379999999999</v>
      </c>
      <c r="K343">
        <f>RANK(J343,$J$2:$J$601,1)</f>
        <v/>
      </c>
      <c r="L343">
        <f>IF(K343&lt;=60,1,0)</f>
        <v/>
      </c>
      <c r="M343">
        <f>IF(MOD(A343-7,10)=0,1,0)</f>
        <v/>
      </c>
      <c r="N343">
        <f>COUNTIFS($B$2:$B$601,B343,$J$2:$J$601,"&lt;"&amp;J343)+1</f>
        <v/>
      </c>
      <c r="O343">
        <f>ROUND(COUNTIF($B$2:$B$601,B343)/600*60,0)</f>
        <v/>
      </c>
      <c r="P343">
        <f>IF(N343&lt;=O343,1,0)</f>
        <v/>
      </c>
      <c r="Q343">
        <f>IF(OR(C343=4,C343=15,C343=27),1,0)</f>
        <v/>
      </c>
      <c r="R343">
        <f>IF(I343&lt;=60,1,0)</f>
        <v/>
      </c>
    </row>
    <row r="344">
      <c r="A344" t="n">
        <v>343</v>
      </c>
      <c r="B344" t="n">
        <v>2</v>
      </c>
      <c r="C344" t="n">
        <v>18</v>
      </c>
      <c r="D344" t="n">
        <v>1</v>
      </c>
      <c r="E344" t="n">
        <v>62</v>
      </c>
      <c r="F344" t="n">
        <v>0</v>
      </c>
      <c r="G344" t="n">
        <v>144</v>
      </c>
      <c r="H344" t="n">
        <v>1</v>
      </c>
      <c r="I344" t="n">
        <v>152</v>
      </c>
      <c r="J344" t="n">
        <v>0.095649</v>
      </c>
      <c r="K344">
        <f>RANK(J344,$J$2:$J$601,1)</f>
        <v/>
      </c>
      <c r="L344">
        <f>IF(K344&lt;=60,1,0)</f>
        <v/>
      </c>
      <c r="M344">
        <f>IF(MOD(A344-7,10)=0,1,0)</f>
        <v/>
      </c>
      <c r="N344">
        <f>COUNTIFS($B$2:$B$601,B344,$J$2:$J$601,"&lt;"&amp;J344)+1</f>
        <v/>
      </c>
      <c r="O344">
        <f>ROUND(COUNTIF($B$2:$B$601,B344)/600*60,0)</f>
        <v/>
      </c>
      <c r="P344">
        <f>IF(N344&lt;=O344,1,0)</f>
        <v/>
      </c>
      <c r="Q344">
        <f>IF(OR(C344=4,C344=15,C344=27),1,0)</f>
        <v/>
      </c>
      <c r="R344">
        <f>IF(I344&lt;=60,1,0)</f>
        <v/>
      </c>
    </row>
    <row r="345">
      <c r="A345" t="n">
        <v>344</v>
      </c>
      <c r="B345" t="n">
        <v>2</v>
      </c>
      <c r="C345" t="n">
        <v>18</v>
      </c>
      <c r="D345" t="n">
        <v>2</v>
      </c>
      <c r="E345" t="n">
        <v>31</v>
      </c>
      <c r="F345" t="n">
        <v>0</v>
      </c>
      <c r="G345" t="n">
        <v>113</v>
      </c>
      <c r="H345" t="n">
        <v>0</v>
      </c>
      <c r="I345" t="n">
        <v>419</v>
      </c>
      <c r="J345" t="n">
        <v>0.421864</v>
      </c>
      <c r="K345">
        <f>RANK(J345,$J$2:$J$601,1)</f>
        <v/>
      </c>
      <c r="L345">
        <f>IF(K345&lt;=60,1,0)</f>
        <v/>
      </c>
      <c r="M345">
        <f>IF(MOD(A345-7,10)=0,1,0)</f>
        <v/>
      </c>
      <c r="N345">
        <f>COUNTIFS($B$2:$B$601,B345,$J$2:$J$601,"&lt;"&amp;J345)+1</f>
        <v/>
      </c>
      <c r="O345">
        <f>ROUND(COUNTIF($B$2:$B$601,B345)/600*60,0)</f>
        <v/>
      </c>
      <c r="P345">
        <f>IF(N345&lt;=O345,1,0)</f>
        <v/>
      </c>
      <c r="Q345">
        <f>IF(OR(C345=4,C345=15,C345=27),1,0)</f>
        <v/>
      </c>
      <c r="R345">
        <f>IF(I345&lt;=60,1,0)</f>
        <v/>
      </c>
    </row>
    <row r="346">
      <c r="A346" t="n">
        <v>345</v>
      </c>
      <c r="B346" t="n">
        <v>2</v>
      </c>
      <c r="C346" t="n">
        <v>18</v>
      </c>
      <c r="D346" t="n">
        <v>1</v>
      </c>
      <c r="E346" t="n">
        <v>50</v>
      </c>
      <c r="F346" t="n">
        <v>0</v>
      </c>
      <c r="G346" t="n">
        <v>118</v>
      </c>
      <c r="H346" t="n">
        <v>0</v>
      </c>
      <c r="I346" t="n">
        <v>380</v>
      </c>
      <c r="J346" t="n">
        <v>0.856915</v>
      </c>
      <c r="K346">
        <f>RANK(J346,$J$2:$J$601,1)</f>
        <v/>
      </c>
      <c r="L346">
        <f>IF(K346&lt;=60,1,0)</f>
        <v/>
      </c>
      <c r="M346">
        <f>IF(MOD(A346-7,10)=0,1,0)</f>
        <v/>
      </c>
      <c r="N346">
        <f>COUNTIFS($B$2:$B$601,B346,$J$2:$J$601,"&lt;"&amp;J346)+1</f>
        <v/>
      </c>
      <c r="O346">
        <f>ROUND(COUNTIF($B$2:$B$601,B346)/600*60,0)</f>
        <v/>
      </c>
      <c r="P346">
        <f>IF(N346&lt;=O346,1,0)</f>
        <v/>
      </c>
      <c r="Q346">
        <f>IF(OR(C346=4,C346=15,C346=27),1,0)</f>
        <v/>
      </c>
      <c r="R346">
        <f>IF(I346&lt;=60,1,0)</f>
        <v/>
      </c>
    </row>
    <row r="347">
      <c r="A347" t="n">
        <v>346</v>
      </c>
      <c r="B347" t="n">
        <v>2</v>
      </c>
      <c r="C347" t="n">
        <v>18</v>
      </c>
      <c r="D347" t="n">
        <v>1</v>
      </c>
      <c r="E347" t="n">
        <v>55</v>
      </c>
      <c r="F347" t="n">
        <v>0</v>
      </c>
      <c r="G347" t="n">
        <v>119</v>
      </c>
      <c r="H347" t="n">
        <v>0</v>
      </c>
      <c r="I347" t="n">
        <v>408</v>
      </c>
      <c r="J347" t="n">
        <v>0.827186</v>
      </c>
      <c r="K347">
        <f>RANK(J347,$J$2:$J$601,1)</f>
        <v/>
      </c>
      <c r="L347">
        <f>IF(K347&lt;=60,1,0)</f>
        <v/>
      </c>
      <c r="M347">
        <f>IF(MOD(A347-7,10)=0,1,0)</f>
        <v/>
      </c>
      <c r="N347">
        <f>COUNTIFS($B$2:$B$601,B347,$J$2:$J$601,"&lt;"&amp;J347)+1</f>
        <v/>
      </c>
      <c r="O347">
        <f>ROUND(COUNTIF($B$2:$B$601,B347)/600*60,0)</f>
        <v/>
      </c>
      <c r="P347">
        <f>IF(N347&lt;=O347,1,0)</f>
        <v/>
      </c>
      <c r="Q347">
        <f>IF(OR(C347=4,C347=15,C347=27),1,0)</f>
        <v/>
      </c>
      <c r="R347">
        <f>IF(I347&lt;=60,1,0)</f>
        <v/>
      </c>
    </row>
    <row r="348">
      <c r="A348" t="n">
        <v>347</v>
      </c>
      <c r="B348" t="n">
        <v>2</v>
      </c>
      <c r="C348" t="n">
        <v>18</v>
      </c>
      <c r="D348" t="n">
        <v>1</v>
      </c>
      <c r="E348" t="n">
        <v>36</v>
      </c>
      <c r="F348" t="n">
        <v>0</v>
      </c>
      <c r="G348" t="n">
        <v>111</v>
      </c>
      <c r="H348" t="n">
        <v>0</v>
      </c>
      <c r="I348" t="n">
        <v>431</v>
      </c>
      <c r="J348" t="n">
        <v>0.335974</v>
      </c>
      <c r="K348">
        <f>RANK(J348,$J$2:$J$601,1)</f>
        <v/>
      </c>
      <c r="L348">
        <f>IF(K348&lt;=60,1,0)</f>
        <v/>
      </c>
      <c r="M348">
        <f>IF(MOD(A348-7,10)=0,1,0)</f>
        <v/>
      </c>
      <c r="N348">
        <f>COUNTIFS($B$2:$B$601,B348,$J$2:$J$601,"&lt;"&amp;J348)+1</f>
        <v/>
      </c>
      <c r="O348">
        <f>ROUND(COUNTIF($B$2:$B$601,B348)/600*60,0)</f>
        <v/>
      </c>
      <c r="P348">
        <f>IF(N348&lt;=O348,1,0)</f>
        <v/>
      </c>
      <c r="Q348">
        <f>IF(OR(C348=4,C348=15,C348=27),1,0)</f>
        <v/>
      </c>
      <c r="R348">
        <f>IF(I348&lt;=60,1,0)</f>
        <v/>
      </c>
    </row>
    <row r="349">
      <c r="A349" t="n">
        <v>348</v>
      </c>
      <c r="B349" t="n">
        <v>2</v>
      </c>
      <c r="C349" t="n">
        <v>18</v>
      </c>
      <c r="D349" t="n">
        <v>1</v>
      </c>
      <c r="E349" t="n">
        <v>80</v>
      </c>
      <c r="F349" t="n">
        <v>0</v>
      </c>
      <c r="G349" t="n">
        <v>134</v>
      </c>
      <c r="H349" t="n">
        <v>0</v>
      </c>
      <c r="I349" t="n">
        <v>156</v>
      </c>
      <c r="J349" t="n">
        <v>0.594445</v>
      </c>
      <c r="K349">
        <f>RANK(J349,$J$2:$J$601,1)</f>
        <v/>
      </c>
      <c r="L349">
        <f>IF(K349&lt;=60,1,0)</f>
        <v/>
      </c>
      <c r="M349">
        <f>IF(MOD(A349-7,10)=0,1,0)</f>
        <v/>
      </c>
      <c r="N349">
        <f>COUNTIFS($B$2:$B$601,B349,$J$2:$J$601,"&lt;"&amp;J349)+1</f>
        <v/>
      </c>
      <c r="O349">
        <f>ROUND(COUNTIF($B$2:$B$601,B349)/600*60,0)</f>
        <v/>
      </c>
      <c r="P349">
        <f>IF(N349&lt;=O349,1,0)</f>
        <v/>
      </c>
      <c r="Q349">
        <f>IF(OR(C349=4,C349=15,C349=27),1,0)</f>
        <v/>
      </c>
      <c r="R349">
        <f>IF(I349&lt;=60,1,0)</f>
        <v/>
      </c>
    </row>
    <row r="350">
      <c r="A350" t="n">
        <v>349</v>
      </c>
      <c r="B350" t="n">
        <v>2</v>
      </c>
      <c r="C350" t="n">
        <v>18</v>
      </c>
      <c r="D350" t="n">
        <v>2</v>
      </c>
      <c r="E350" t="n">
        <v>79</v>
      </c>
      <c r="F350" t="n">
        <v>0</v>
      </c>
      <c r="G350" t="n">
        <v>121</v>
      </c>
      <c r="H350" t="n">
        <v>0</v>
      </c>
      <c r="I350" t="n">
        <v>246</v>
      </c>
      <c r="J350" t="n">
        <v>0.063431</v>
      </c>
      <c r="K350">
        <f>RANK(J350,$J$2:$J$601,1)</f>
        <v/>
      </c>
      <c r="L350">
        <f>IF(K350&lt;=60,1,0)</f>
        <v/>
      </c>
      <c r="M350">
        <f>IF(MOD(A350-7,10)=0,1,0)</f>
        <v/>
      </c>
      <c r="N350">
        <f>COUNTIFS($B$2:$B$601,B350,$J$2:$J$601,"&lt;"&amp;J350)+1</f>
        <v/>
      </c>
      <c r="O350">
        <f>ROUND(COUNTIF($B$2:$B$601,B350)/600*60,0)</f>
        <v/>
      </c>
      <c r="P350">
        <f>IF(N350&lt;=O350,1,0)</f>
        <v/>
      </c>
      <c r="Q350">
        <f>IF(OR(C350=4,C350=15,C350=27),1,0)</f>
        <v/>
      </c>
      <c r="R350">
        <f>IF(I350&lt;=60,1,0)</f>
        <v/>
      </c>
    </row>
    <row r="351">
      <c r="A351" t="n">
        <v>350</v>
      </c>
      <c r="B351" t="n">
        <v>2</v>
      </c>
      <c r="C351" t="n">
        <v>18</v>
      </c>
      <c r="D351" t="n">
        <v>1</v>
      </c>
      <c r="E351" t="n">
        <v>54</v>
      </c>
      <c r="F351" t="n">
        <v>0</v>
      </c>
      <c r="G351" t="n">
        <v>125</v>
      </c>
      <c r="H351" t="n">
        <v>0</v>
      </c>
      <c r="I351" t="n">
        <v>283</v>
      </c>
      <c r="J351" t="n">
        <v>0.291946</v>
      </c>
      <c r="K351">
        <f>RANK(J351,$J$2:$J$601,1)</f>
        <v/>
      </c>
      <c r="L351">
        <f>IF(K351&lt;=60,1,0)</f>
        <v/>
      </c>
      <c r="M351">
        <f>IF(MOD(A351-7,10)=0,1,0)</f>
        <v/>
      </c>
      <c r="N351">
        <f>COUNTIFS($B$2:$B$601,B351,$J$2:$J$601,"&lt;"&amp;J351)+1</f>
        <v/>
      </c>
      <c r="O351">
        <f>ROUND(COUNTIF($B$2:$B$601,B351)/600*60,0)</f>
        <v/>
      </c>
      <c r="P351">
        <f>IF(N351&lt;=O351,1,0)</f>
        <v/>
      </c>
      <c r="Q351">
        <f>IF(OR(C351=4,C351=15,C351=27),1,0)</f>
        <v/>
      </c>
      <c r="R351">
        <f>IF(I351&lt;=60,1,0)</f>
        <v/>
      </c>
    </row>
    <row r="352">
      <c r="A352" t="n">
        <v>351</v>
      </c>
      <c r="B352" t="n">
        <v>2</v>
      </c>
      <c r="C352" t="n">
        <v>18</v>
      </c>
      <c r="D352" t="n">
        <v>2</v>
      </c>
      <c r="E352" t="n">
        <v>51</v>
      </c>
      <c r="F352" t="n">
        <v>0</v>
      </c>
      <c r="G352" t="n">
        <v>116</v>
      </c>
      <c r="H352" t="n">
        <v>0</v>
      </c>
      <c r="I352" t="n">
        <v>257</v>
      </c>
      <c r="J352" t="n">
        <v>0.452823</v>
      </c>
      <c r="K352">
        <f>RANK(J352,$J$2:$J$601,1)</f>
        <v/>
      </c>
      <c r="L352">
        <f>IF(K352&lt;=60,1,0)</f>
        <v/>
      </c>
      <c r="M352">
        <f>IF(MOD(A352-7,10)=0,1,0)</f>
        <v/>
      </c>
      <c r="N352">
        <f>COUNTIFS($B$2:$B$601,B352,$J$2:$J$601,"&lt;"&amp;J352)+1</f>
        <v/>
      </c>
      <c r="O352">
        <f>ROUND(COUNTIF($B$2:$B$601,B352)/600*60,0)</f>
        <v/>
      </c>
      <c r="P352">
        <f>IF(N352&lt;=O352,1,0)</f>
        <v/>
      </c>
      <c r="Q352">
        <f>IF(OR(C352=4,C352=15,C352=27),1,0)</f>
        <v/>
      </c>
      <c r="R352">
        <f>IF(I352&lt;=60,1,0)</f>
        <v/>
      </c>
    </row>
    <row r="353">
      <c r="A353" t="n">
        <v>352</v>
      </c>
      <c r="B353" t="n">
        <v>2</v>
      </c>
      <c r="C353" t="n">
        <v>18</v>
      </c>
      <c r="D353" t="n">
        <v>2</v>
      </c>
      <c r="E353" t="n">
        <v>56</v>
      </c>
      <c r="F353" t="n">
        <v>0</v>
      </c>
      <c r="G353" t="n">
        <v>123</v>
      </c>
      <c r="H353" t="n">
        <v>0</v>
      </c>
      <c r="I353" t="n">
        <v>429</v>
      </c>
      <c r="J353" t="n">
        <v>0.184204</v>
      </c>
      <c r="K353">
        <f>RANK(J353,$J$2:$J$601,1)</f>
        <v/>
      </c>
      <c r="L353">
        <f>IF(K353&lt;=60,1,0)</f>
        <v/>
      </c>
      <c r="M353">
        <f>IF(MOD(A353-7,10)=0,1,0)</f>
        <v/>
      </c>
      <c r="N353">
        <f>COUNTIFS($B$2:$B$601,B353,$J$2:$J$601,"&lt;"&amp;J353)+1</f>
        <v/>
      </c>
      <c r="O353">
        <f>ROUND(COUNTIF($B$2:$B$601,B353)/600*60,0)</f>
        <v/>
      </c>
      <c r="P353">
        <f>IF(N353&lt;=O353,1,0)</f>
        <v/>
      </c>
      <c r="Q353">
        <f>IF(OR(C353=4,C353=15,C353=27),1,0)</f>
        <v/>
      </c>
      <c r="R353">
        <f>IF(I353&lt;=60,1,0)</f>
        <v/>
      </c>
    </row>
    <row r="354">
      <c r="A354" t="n">
        <v>353</v>
      </c>
      <c r="B354" t="n">
        <v>2</v>
      </c>
      <c r="C354" t="n">
        <v>18</v>
      </c>
      <c r="D354" t="n">
        <v>1</v>
      </c>
      <c r="E354" t="n">
        <v>48</v>
      </c>
      <c r="F354" t="n">
        <v>0</v>
      </c>
      <c r="G354" t="n">
        <v>108</v>
      </c>
      <c r="H354" t="n">
        <v>0</v>
      </c>
      <c r="I354" t="n">
        <v>223</v>
      </c>
      <c r="J354" t="n">
        <v>0.386402</v>
      </c>
      <c r="K354">
        <f>RANK(J354,$J$2:$J$601,1)</f>
        <v/>
      </c>
      <c r="L354">
        <f>IF(K354&lt;=60,1,0)</f>
        <v/>
      </c>
      <c r="M354">
        <f>IF(MOD(A354-7,10)=0,1,0)</f>
        <v/>
      </c>
      <c r="N354">
        <f>COUNTIFS($B$2:$B$601,B354,$J$2:$J$601,"&lt;"&amp;J354)+1</f>
        <v/>
      </c>
      <c r="O354">
        <f>ROUND(COUNTIF($B$2:$B$601,B354)/600*60,0)</f>
        <v/>
      </c>
      <c r="P354">
        <f>IF(N354&lt;=O354,1,0)</f>
        <v/>
      </c>
      <c r="Q354">
        <f>IF(OR(C354=4,C354=15,C354=27),1,0)</f>
        <v/>
      </c>
      <c r="R354">
        <f>IF(I354&lt;=60,1,0)</f>
        <v/>
      </c>
    </row>
    <row r="355">
      <c r="A355" t="n">
        <v>354</v>
      </c>
      <c r="B355" t="n">
        <v>2</v>
      </c>
      <c r="C355" t="n">
        <v>18</v>
      </c>
      <c r="D355" t="n">
        <v>2</v>
      </c>
      <c r="E355" t="n">
        <v>35</v>
      </c>
      <c r="F355" t="n">
        <v>0</v>
      </c>
      <c r="G355" t="n">
        <v>120</v>
      </c>
      <c r="H355" t="n">
        <v>0</v>
      </c>
      <c r="I355" t="n">
        <v>290</v>
      </c>
      <c r="J355" t="n">
        <v>0.712788</v>
      </c>
      <c r="K355">
        <f>RANK(J355,$J$2:$J$601,1)</f>
        <v/>
      </c>
      <c r="L355">
        <f>IF(K355&lt;=60,1,0)</f>
        <v/>
      </c>
      <c r="M355">
        <f>IF(MOD(A355-7,10)=0,1,0)</f>
        <v/>
      </c>
      <c r="N355">
        <f>COUNTIFS($B$2:$B$601,B355,$J$2:$J$601,"&lt;"&amp;J355)+1</f>
        <v/>
      </c>
      <c r="O355">
        <f>ROUND(COUNTIF($B$2:$B$601,B355)/600*60,0)</f>
        <v/>
      </c>
      <c r="P355">
        <f>IF(N355&lt;=O355,1,0)</f>
        <v/>
      </c>
      <c r="Q355">
        <f>IF(OR(C355=4,C355=15,C355=27),1,0)</f>
        <v/>
      </c>
      <c r="R355">
        <f>IF(I355&lt;=60,1,0)</f>
        <v/>
      </c>
    </row>
    <row r="356">
      <c r="A356" t="n">
        <v>355</v>
      </c>
      <c r="B356" t="n">
        <v>2</v>
      </c>
      <c r="C356" t="n">
        <v>18</v>
      </c>
      <c r="D356" t="n">
        <v>1</v>
      </c>
      <c r="E356" t="n">
        <v>40</v>
      </c>
      <c r="F356" t="n">
        <v>0</v>
      </c>
      <c r="G356" t="n">
        <v>122</v>
      </c>
      <c r="H356" t="n">
        <v>0</v>
      </c>
      <c r="I356" t="n">
        <v>563</v>
      </c>
      <c r="J356" t="n">
        <v>0.666488</v>
      </c>
      <c r="K356">
        <f>RANK(J356,$J$2:$J$601,1)</f>
        <v/>
      </c>
      <c r="L356">
        <f>IF(K356&lt;=60,1,0)</f>
        <v/>
      </c>
      <c r="M356">
        <f>IF(MOD(A356-7,10)=0,1,0)</f>
        <v/>
      </c>
      <c r="N356">
        <f>COUNTIFS($B$2:$B$601,B356,$J$2:$J$601,"&lt;"&amp;J356)+1</f>
        <v/>
      </c>
      <c r="O356">
        <f>ROUND(COUNTIF($B$2:$B$601,B356)/600*60,0)</f>
        <v/>
      </c>
      <c r="P356">
        <f>IF(N356&lt;=O356,1,0)</f>
        <v/>
      </c>
      <c r="Q356">
        <f>IF(OR(C356=4,C356=15,C356=27),1,0)</f>
        <v/>
      </c>
      <c r="R356">
        <f>IF(I356&lt;=60,1,0)</f>
        <v/>
      </c>
    </row>
    <row r="357">
      <c r="A357" t="n">
        <v>356</v>
      </c>
      <c r="B357" t="n">
        <v>2</v>
      </c>
      <c r="C357" t="n">
        <v>18</v>
      </c>
      <c r="D357" t="n">
        <v>1</v>
      </c>
      <c r="E357" t="n">
        <v>80</v>
      </c>
      <c r="F357" t="n">
        <v>0</v>
      </c>
      <c r="G357" t="n">
        <v>135</v>
      </c>
      <c r="H357" t="n">
        <v>0</v>
      </c>
      <c r="I357" t="n">
        <v>369</v>
      </c>
      <c r="J357" t="n">
        <v>0.481301</v>
      </c>
      <c r="K357">
        <f>RANK(J357,$J$2:$J$601,1)</f>
        <v/>
      </c>
      <c r="L357">
        <f>IF(K357&lt;=60,1,0)</f>
        <v/>
      </c>
      <c r="M357">
        <f>IF(MOD(A357-7,10)=0,1,0)</f>
        <v/>
      </c>
      <c r="N357">
        <f>COUNTIFS($B$2:$B$601,B357,$J$2:$J$601,"&lt;"&amp;J357)+1</f>
        <v/>
      </c>
      <c r="O357">
        <f>ROUND(COUNTIF($B$2:$B$601,B357)/600*60,0)</f>
        <v/>
      </c>
      <c r="P357">
        <f>IF(N357&lt;=O357,1,0)</f>
        <v/>
      </c>
      <c r="Q357">
        <f>IF(OR(C357=4,C357=15,C357=27),1,0)</f>
        <v/>
      </c>
      <c r="R357">
        <f>IF(I357&lt;=60,1,0)</f>
        <v/>
      </c>
    </row>
    <row r="358">
      <c r="A358" t="n">
        <v>357</v>
      </c>
      <c r="B358" t="n">
        <v>2</v>
      </c>
      <c r="C358" t="n">
        <v>18</v>
      </c>
      <c r="D358" t="n">
        <v>2</v>
      </c>
      <c r="E358" t="n">
        <v>34</v>
      </c>
      <c r="F358" t="n">
        <v>0</v>
      </c>
      <c r="G358" t="n">
        <v>106</v>
      </c>
      <c r="H358" t="n">
        <v>0</v>
      </c>
      <c r="I358" t="n">
        <v>340</v>
      </c>
      <c r="J358" t="n">
        <v>0.185869</v>
      </c>
      <c r="K358">
        <f>RANK(J358,$J$2:$J$601,1)</f>
        <v/>
      </c>
      <c r="L358">
        <f>IF(K358&lt;=60,1,0)</f>
        <v/>
      </c>
      <c r="M358">
        <f>IF(MOD(A358-7,10)=0,1,0)</f>
        <v/>
      </c>
      <c r="N358">
        <f>COUNTIFS($B$2:$B$601,B358,$J$2:$J$601,"&lt;"&amp;J358)+1</f>
        <v/>
      </c>
      <c r="O358">
        <f>ROUND(COUNTIF($B$2:$B$601,B358)/600*60,0)</f>
        <v/>
      </c>
      <c r="P358">
        <f>IF(N358&lt;=O358,1,0)</f>
        <v/>
      </c>
      <c r="Q358">
        <f>IF(OR(C358=4,C358=15,C358=27),1,0)</f>
        <v/>
      </c>
      <c r="R358">
        <f>IF(I358&lt;=60,1,0)</f>
        <v/>
      </c>
    </row>
    <row r="359">
      <c r="A359" t="n">
        <v>358</v>
      </c>
      <c r="B359" t="n">
        <v>2</v>
      </c>
      <c r="C359" t="n">
        <v>18</v>
      </c>
      <c r="D359" t="n">
        <v>2</v>
      </c>
      <c r="E359" t="n">
        <v>39</v>
      </c>
      <c r="F359" t="n">
        <v>0</v>
      </c>
      <c r="G359" t="n">
        <v>126</v>
      </c>
      <c r="H359" t="n">
        <v>0</v>
      </c>
      <c r="I359" t="n">
        <v>594</v>
      </c>
      <c r="J359" t="n">
        <v>0.100388</v>
      </c>
      <c r="K359">
        <f>RANK(J359,$J$2:$J$601,1)</f>
        <v/>
      </c>
      <c r="L359">
        <f>IF(K359&lt;=60,1,0)</f>
        <v/>
      </c>
      <c r="M359">
        <f>IF(MOD(A359-7,10)=0,1,0)</f>
        <v/>
      </c>
      <c r="N359">
        <f>COUNTIFS($B$2:$B$601,B359,$J$2:$J$601,"&lt;"&amp;J359)+1</f>
        <v/>
      </c>
      <c r="O359">
        <f>ROUND(COUNTIF($B$2:$B$601,B359)/600*60,0)</f>
        <v/>
      </c>
      <c r="P359">
        <f>IF(N359&lt;=O359,1,0)</f>
        <v/>
      </c>
      <c r="Q359">
        <f>IF(OR(C359=4,C359=15,C359=27),1,0)</f>
        <v/>
      </c>
      <c r="R359">
        <f>IF(I359&lt;=60,1,0)</f>
        <v/>
      </c>
    </row>
    <row r="360">
      <c r="A360" t="n">
        <v>359</v>
      </c>
      <c r="B360" t="n">
        <v>2</v>
      </c>
      <c r="C360" t="n">
        <v>18</v>
      </c>
      <c r="D360" t="n">
        <v>2</v>
      </c>
      <c r="E360" t="n">
        <v>49</v>
      </c>
      <c r="F360" t="n">
        <v>1</v>
      </c>
      <c r="G360" t="n">
        <v>141</v>
      </c>
      <c r="H360" t="n">
        <v>1</v>
      </c>
      <c r="I360" t="n">
        <v>171</v>
      </c>
      <c r="J360" t="n">
        <v>0.7594</v>
      </c>
      <c r="K360">
        <f>RANK(J360,$J$2:$J$601,1)</f>
        <v/>
      </c>
      <c r="L360">
        <f>IF(K360&lt;=60,1,0)</f>
        <v/>
      </c>
      <c r="M360">
        <f>IF(MOD(A360-7,10)=0,1,0)</f>
        <v/>
      </c>
      <c r="N360">
        <f>COUNTIFS($B$2:$B$601,B360,$J$2:$J$601,"&lt;"&amp;J360)+1</f>
        <v/>
      </c>
      <c r="O360">
        <f>ROUND(COUNTIF($B$2:$B$601,B360)/600*60,0)</f>
        <v/>
      </c>
      <c r="P360">
        <f>IF(N360&lt;=O360,1,0)</f>
        <v/>
      </c>
      <c r="Q360">
        <f>IF(OR(C360=4,C360=15,C360=27),1,0)</f>
        <v/>
      </c>
      <c r="R360">
        <f>IF(I360&lt;=60,1,0)</f>
        <v/>
      </c>
    </row>
    <row r="361">
      <c r="A361" t="n">
        <v>360</v>
      </c>
      <c r="B361" t="n">
        <v>2</v>
      </c>
      <c r="C361" t="n">
        <v>18</v>
      </c>
      <c r="D361" t="n">
        <v>1</v>
      </c>
      <c r="E361" t="n">
        <v>43</v>
      </c>
      <c r="F361" t="n">
        <v>0</v>
      </c>
      <c r="G361" t="n">
        <v>134</v>
      </c>
      <c r="H361" t="n">
        <v>0</v>
      </c>
      <c r="I361" t="n">
        <v>352</v>
      </c>
      <c r="J361" t="n">
        <v>0.127761</v>
      </c>
      <c r="K361">
        <f>RANK(J361,$J$2:$J$601,1)</f>
        <v/>
      </c>
      <c r="L361">
        <f>IF(K361&lt;=60,1,0)</f>
        <v/>
      </c>
      <c r="M361">
        <f>IF(MOD(A361-7,10)=0,1,0)</f>
        <v/>
      </c>
      <c r="N361">
        <f>COUNTIFS($B$2:$B$601,B361,$J$2:$J$601,"&lt;"&amp;J361)+1</f>
        <v/>
      </c>
      <c r="O361">
        <f>ROUND(COUNTIF($B$2:$B$601,B361)/600*60,0)</f>
        <v/>
      </c>
      <c r="P361">
        <f>IF(N361&lt;=O361,1,0)</f>
        <v/>
      </c>
      <c r="Q361">
        <f>IF(OR(C361=4,C361=15,C361=27),1,0)</f>
        <v/>
      </c>
      <c r="R361">
        <f>IF(I361&lt;=60,1,0)</f>
        <v/>
      </c>
    </row>
    <row r="362">
      <c r="A362" t="n">
        <v>361</v>
      </c>
      <c r="B362" t="n">
        <v>3</v>
      </c>
      <c r="C362" t="n">
        <v>19</v>
      </c>
      <c r="D362" t="n">
        <v>2</v>
      </c>
      <c r="E362" t="n">
        <v>68</v>
      </c>
      <c r="F362" t="n">
        <v>1</v>
      </c>
      <c r="G362" t="n">
        <v>144</v>
      </c>
      <c r="H362" t="n">
        <v>1</v>
      </c>
      <c r="I362" t="n">
        <v>60</v>
      </c>
      <c r="J362" t="n">
        <v>0.011401</v>
      </c>
      <c r="K362">
        <f>RANK(J362,$J$2:$J$601,1)</f>
        <v/>
      </c>
      <c r="L362">
        <f>IF(K362&lt;=60,1,0)</f>
        <v/>
      </c>
      <c r="M362">
        <f>IF(MOD(A362-7,10)=0,1,0)</f>
        <v/>
      </c>
      <c r="N362">
        <f>COUNTIFS($B$2:$B$601,B362,$J$2:$J$601,"&lt;"&amp;J362)+1</f>
        <v/>
      </c>
      <c r="O362">
        <f>ROUND(COUNTIF($B$2:$B$601,B362)/600*60,0)</f>
        <v/>
      </c>
      <c r="P362">
        <f>IF(N362&lt;=O362,1,0)</f>
        <v/>
      </c>
      <c r="Q362">
        <f>IF(OR(C362=4,C362=15,C362=27),1,0)</f>
        <v/>
      </c>
      <c r="R362">
        <f>IF(I362&lt;=60,1,0)</f>
        <v/>
      </c>
    </row>
    <row r="363">
      <c r="A363" t="n">
        <v>362</v>
      </c>
      <c r="B363" t="n">
        <v>3</v>
      </c>
      <c r="C363" t="n">
        <v>19</v>
      </c>
      <c r="D363" t="n">
        <v>1</v>
      </c>
      <c r="E363" t="n">
        <v>40</v>
      </c>
      <c r="F363" t="n">
        <v>0</v>
      </c>
      <c r="G363" t="n">
        <v>119</v>
      </c>
      <c r="H363" t="n">
        <v>0</v>
      </c>
      <c r="I363" t="n">
        <v>409</v>
      </c>
      <c r="J363" t="n">
        <v>0.471588</v>
      </c>
      <c r="K363">
        <f>RANK(J363,$J$2:$J$601,1)</f>
        <v/>
      </c>
      <c r="L363">
        <f>IF(K363&lt;=60,1,0)</f>
        <v/>
      </c>
      <c r="M363">
        <f>IF(MOD(A363-7,10)=0,1,0)</f>
        <v/>
      </c>
      <c r="N363">
        <f>COUNTIFS($B$2:$B$601,B363,$J$2:$J$601,"&lt;"&amp;J363)+1</f>
        <v/>
      </c>
      <c r="O363">
        <f>ROUND(COUNTIF($B$2:$B$601,B363)/600*60,0)</f>
        <v/>
      </c>
      <c r="P363">
        <f>IF(N363&lt;=O363,1,0)</f>
        <v/>
      </c>
      <c r="Q363">
        <f>IF(OR(C363=4,C363=15,C363=27),1,0)</f>
        <v/>
      </c>
      <c r="R363">
        <f>IF(I363&lt;=60,1,0)</f>
        <v/>
      </c>
    </row>
    <row r="364">
      <c r="A364" t="n">
        <v>363</v>
      </c>
      <c r="B364" t="n">
        <v>3</v>
      </c>
      <c r="C364" t="n">
        <v>19</v>
      </c>
      <c r="D364" t="n">
        <v>2</v>
      </c>
      <c r="E364" t="n">
        <v>52</v>
      </c>
      <c r="F364" t="n">
        <v>0</v>
      </c>
      <c r="G364" t="n">
        <v>119</v>
      </c>
      <c r="H364" t="n">
        <v>0</v>
      </c>
      <c r="I364" t="n">
        <v>287</v>
      </c>
      <c r="J364" t="n">
        <v>0.253719</v>
      </c>
      <c r="K364">
        <f>RANK(J364,$J$2:$J$601,1)</f>
        <v/>
      </c>
      <c r="L364">
        <f>IF(K364&lt;=60,1,0)</f>
        <v/>
      </c>
      <c r="M364">
        <f>IF(MOD(A364-7,10)=0,1,0)</f>
        <v/>
      </c>
      <c r="N364">
        <f>COUNTIFS($B$2:$B$601,B364,$J$2:$J$601,"&lt;"&amp;J364)+1</f>
        <v/>
      </c>
      <c r="O364">
        <f>ROUND(COUNTIF($B$2:$B$601,B364)/600*60,0)</f>
        <v/>
      </c>
      <c r="P364">
        <f>IF(N364&lt;=O364,1,0)</f>
        <v/>
      </c>
      <c r="Q364">
        <f>IF(OR(C364=4,C364=15,C364=27),1,0)</f>
        <v/>
      </c>
      <c r="R364">
        <f>IF(I364&lt;=60,1,0)</f>
        <v/>
      </c>
    </row>
    <row r="365">
      <c r="A365" t="n">
        <v>364</v>
      </c>
      <c r="B365" t="n">
        <v>3</v>
      </c>
      <c r="C365" t="n">
        <v>19</v>
      </c>
      <c r="D365" t="n">
        <v>2</v>
      </c>
      <c r="E365" t="n">
        <v>68</v>
      </c>
      <c r="F365" t="n">
        <v>0</v>
      </c>
      <c r="G365" t="n">
        <v>132</v>
      </c>
      <c r="H365" t="n">
        <v>0</v>
      </c>
      <c r="I365" t="n">
        <v>262</v>
      </c>
      <c r="J365" t="n">
        <v>0.104256</v>
      </c>
      <c r="K365">
        <f>RANK(J365,$J$2:$J$601,1)</f>
        <v/>
      </c>
      <c r="L365">
        <f>IF(K365&lt;=60,1,0)</f>
        <v/>
      </c>
      <c r="M365">
        <f>IF(MOD(A365-7,10)=0,1,0)</f>
        <v/>
      </c>
      <c r="N365">
        <f>COUNTIFS($B$2:$B$601,B365,$J$2:$J$601,"&lt;"&amp;J365)+1</f>
        <v/>
      </c>
      <c r="O365">
        <f>ROUND(COUNTIF($B$2:$B$601,B365)/600*60,0)</f>
        <v/>
      </c>
      <c r="P365">
        <f>IF(N365&lt;=O365,1,0)</f>
        <v/>
      </c>
      <c r="Q365">
        <f>IF(OR(C365=4,C365=15,C365=27),1,0)</f>
        <v/>
      </c>
      <c r="R365">
        <f>IF(I365&lt;=60,1,0)</f>
        <v/>
      </c>
    </row>
    <row r="366">
      <c r="A366" t="n">
        <v>365</v>
      </c>
      <c r="B366" t="n">
        <v>3</v>
      </c>
      <c r="C366" t="n">
        <v>19</v>
      </c>
      <c r="D366" t="n">
        <v>2</v>
      </c>
      <c r="E366" t="n">
        <v>62</v>
      </c>
      <c r="F366" t="n">
        <v>0</v>
      </c>
      <c r="G366" t="n">
        <v>120</v>
      </c>
      <c r="H366" t="n">
        <v>0</v>
      </c>
      <c r="I366" t="n">
        <v>505</v>
      </c>
      <c r="J366" t="n">
        <v>0.720483</v>
      </c>
      <c r="K366">
        <f>RANK(J366,$J$2:$J$601,1)</f>
        <v/>
      </c>
      <c r="L366">
        <f>IF(K366&lt;=60,1,0)</f>
        <v/>
      </c>
      <c r="M366">
        <f>IF(MOD(A366-7,10)=0,1,0)</f>
        <v/>
      </c>
      <c r="N366">
        <f>COUNTIFS($B$2:$B$601,B366,$J$2:$J$601,"&lt;"&amp;J366)+1</f>
        <v/>
      </c>
      <c r="O366">
        <f>ROUND(COUNTIF($B$2:$B$601,B366)/600*60,0)</f>
        <v/>
      </c>
      <c r="P366">
        <f>IF(N366&lt;=O366,1,0)</f>
        <v/>
      </c>
      <c r="Q366">
        <f>IF(OR(C366=4,C366=15,C366=27),1,0)</f>
        <v/>
      </c>
      <c r="R366">
        <f>IF(I366&lt;=60,1,0)</f>
        <v/>
      </c>
    </row>
    <row r="367">
      <c r="A367" t="n">
        <v>366</v>
      </c>
      <c r="B367" t="n">
        <v>3</v>
      </c>
      <c r="C367" t="n">
        <v>19</v>
      </c>
      <c r="D367" t="n">
        <v>2</v>
      </c>
      <c r="E367" t="n">
        <v>62</v>
      </c>
      <c r="F367" t="n">
        <v>1</v>
      </c>
      <c r="G367" t="n">
        <v>133</v>
      </c>
      <c r="H367" t="n">
        <v>0</v>
      </c>
      <c r="I367" t="n">
        <v>514</v>
      </c>
      <c r="J367" t="n">
        <v>0.519823</v>
      </c>
      <c r="K367">
        <f>RANK(J367,$J$2:$J$601,1)</f>
        <v/>
      </c>
      <c r="L367">
        <f>IF(K367&lt;=60,1,0)</f>
        <v/>
      </c>
      <c r="M367">
        <f>IF(MOD(A367-7,10)=0,1,0)</f>
        <v/>
      </c>
      <c r="N367">
        <f>COUNTIFS($B$2:$B$601,B367,$J$2:$J$601,"&lt;"&amp;J367)+1</f>
        <v/>
      </c>
      <c r="O367">
        <f>ROUND(COUNTIF($B$2:$B$601,B367)/600*60,0)</f>
        <v/>
      </c>
      <c r="P367">
        <f>IF(N367&lt;=O367,1,0)</f>
        <v/>
      </c>
      <c r="Q367">
        <f>IF(OR(C367=4,C367=15,C367=27),1,0)</f>
        <v/>
      </c>
      <c r="R367">
        <f>IF(I367&lt;=60,1,0)</f>
        <v/>
      </c>
    </row>
    <row r="368">
      <c r="A368" t="n">
        <v>367</v>
      </c>
      <c r="B368" t="n">
        <v>3</v>
      </c>
      <c r="C368" t="n">
        <v>19</v>
      </c>
      <c r="D368" t="n">
        <v>2</v>
      </c>
      <c r="E368" t="n">
        <v>77</v>
      </c>
      <c r="F368" t="n">
        <v>1</v>
      </c>
      <c r="G368" t="n">
        <v>144</v>
      </c>
      <c r="H368" t="n">
        <v>1</v>
      </c>
      <c r="I368" t="n">
        <v>45</v>
      </c>
      <c r="J368" t="n">
        <v>0.692765</v>
      </c>
      <c r="K368">
        <f>RANK(J368,$J$2:$J$601,1)</f>
        <v/>
      </c>
      <c r="L368">
        <f>IF(K368&lt;=60,1,0)</f>
        <v/>
      </c>
      <c r="M368">
        <f>IF(MOD(A368-7,10)=0,1,0)</f>
        <v/>
      </c>
      <c r="N368">
        <f>COUNTIFS($B$2:$B$601,B368,$J$2:$J$601,"&lt;"&amp;J368)+1</f>
        <v/>
      </c>
      <c r="O368">
        <f>ROUND(COUNTIF($B$2:$B$601,B368)/600*60,0)</f>
        <v/>
      </c>
      <c r="P368">
        <f>IF(N368&lt;=O368,1,0)</f>
        <v/>
      </c>
      <c r="Q368">
        <f>IF(OR(C368=4,C368=15,C368=27),1,0)</f>
        <v/>
      </c>
      <c r="R368">
        <f>IF(I368&lt;=60,1,0)</f>
        <v/>
      </c>
    </row>
    <row r="369">
      <c r="A369" t="n">
        <v>368</v>
      </c>
      <c r="B369" t="n">
        <v>3</v>
      </c>
      <c r="C369" t="n">
        <v>19</v>
      </c>
      <c r="D369" t="n">
        <v>2</v>
      </c>
      <c r="E369" t="n">
        <v>63</v>
      </c>
      <c r="F369" t="n">
        <v>1</v>
      </c>
      <c r="G369" t="n">
        <v>127</v>
      </c>
      <c r="H369" t="n">
        <v>0</v>
      </c>
      <c r="I369" t="n">
        <v>264</v>
      </c>
      <c r="J369" t="n">
        <v>0.365958</v>
      </c>
      <c r="K369">
        <f>RANK(J369,$J$2:$J$601,1)</f>
        <v/>
      </c>
      <c r="L369">
        <f>IF(K369&lt;=60,1,0)</f>
        <v/>
      </c>
      <c r="M369">
        <f>IF(MOD(A369-7,10)=0,1,0)</f>
        <v/>
      </c>
      <c r="N369">
        <f>COUNTIFS($B$2:$B$601,B369,$J$2:$J$601,"&lt;"&amp;J369)+1</f>
        <v/>
      </c>
      <c r="O369">
        <f>ROUND(COUNTIF($B$2:$B$601,B369)/600*60,0)</f>
        <v/>
      </c>
      <c r="P369">
        <f>IF(N369&lt;=O369,1,0)</f>
        <v/>
      </c>
      <c r="Q369">
        <f>IF(OR(C369=4,C369=15,C369=27),1,0)</f>
        <v/>
      </c>
      <c r="R369">
        <f>IF(I369&lt;=60,1,0)</f>
        <v/>
      </c>
    </row>
    <row r="370">
      <c r="A370" t="n">
        <v>369</v>
      </c>
      <c r="B370" t="n">
        <v>3</v>
      </c>
      <c r="C370" t="n">
        <v>19</v>
      </c>
      <c r="D370" t="n">
        <v>1</v>
      </c>
      <c r="E370" t="n">
        <v>35</v>
      </c>
      <c r="F370" t="n">
        <v>0</v>
      </c>
      <c r="G370" t="n">
        <v>121</v>
      </c>
      <c r="H370" t="n">
        <v>0</v>
      </c>
      <c r="I370" t="n">
        <v>327</v>
      </c>
      <c r="J370" t="n">
        <v>0.4804</v>
      </c>
      <c r="K370">
        <f>RANK(J370,$J$2:$J$601,1)</f>
        <v/>
      </c>
      <c r="L370">
        <f>IF(K370&lt;=60,1,0)</f>
        <v/>
      </c>
      <c r="M370">
        <f>IF(MOD(A370-7,10)=0,1,0)</f>
        <v/>
      </c>
      <c r="N370">
        <f>COUNTIFS($B$2:$B$601,B370,$J$2:$J$601,"&lt;"&amp;J370)+1</f>
        <v/>
      </c>
      <c r="O370">
        <f>ROUND(COUNTIF($B$2:$B$601,B370)/600*60,0)</f>
        <v/>
      </c>
      <c r="P370">
        <f>IF(N370&lt;=O370,1,0)</f>
        <v/>
      </c>
      <c r="Q370">
        <f>IF(OR(C370=4,C370=15,C370=27),1,0)</f>
        <v/>
      </c>
      <c r="R370">
        <f>IF(I370&lt;=60,1,0)</f>
        <v/>
      </c>
    </row>
    <row r="371">
      <c r="A371" t="n">
        <v>370</v>
      </c>
      <c r="B371" t="n">
        <v>3</v>
      </c>
      <c r="C371" t="n">
        <v>19</v>
      </c>
      <c r="D371" t="n">
        <v>1</v>
      </c>
      <c r="E371" t="n">
        <v>76</v>
      </c>
      <c r="F371" t="n">
        <v>0</v>
      </c>
      <c r="G371" t="n">
        <v>122</v>
      </c>
      <c r="H371" t="n">
        <v>0</v>
      </c>
      <c r="I371" t="n">
        <v>328</v>
      </c>
      <c r="J371" t="n">
        <v>0.246778</v>
      </c>
      <c r="K371">
        <f>RANK(J371,$J$2:$J$601,1)</f>
        <v/>
      </c>
      <c r="L371">
        <f>IF(K371&lt;=60,1,0)</f>
        <v/>
      </c>
      <c r="M371">
        <f>IF(MOD(A371-7,10)=0,1,0)</f>
        <v/>
      </c>
      <c r="N371">
        <f>COUNTIFS($B$2:$B$601,B371,$J$2:$J$601,"&lt;"&amp;J371)+1</f>
        <v/>
      </c>
      <c r="O371">
        <f>ROUND(COUNTIF($B$2:$B$601,B371)/600*60,0)</f>
        <v/>
      </c>
      <c r="P371">
        <f>IF(N371&lt;=O371,1,0)</f>
        <v/>
      </c>
      <c r="Q371">
        <f>IF(OR(C371=4,C371=15,C371=27),1,0)</f>
        <v/>
      </c>
      <c r="R371">
        <f>IF(I371&lt;=60,1,0)</f>
        <v/>
      </c>
    </row>
    <row r="372">
      <c r="A372" t="n">
        <v>371</v>
      </c>
      <c r="B372" t="n">
        <v>3</v>
      </c>
      <c r="C372" t="n">
        <v>19</v>
      </c>
      <c r="D372" t="n">
        <v>2</v>
      </c>
      <c r="E372" t="n">
        <v>68</v>
      </c>
      <c r="F372" t="n">
        <v>1</v>
      </c>
      <c r="G372" t="n">
        <v>132</v>
      </c>
      <c r="H372" t="n">
        <v>0</v>
      </c>
      <c r="I372" t="n">
        <v>572</v>
      </c>
      <c r="J372" t="n">
        <v>0.117175</v>
      </c>
      <c r="K372">
        <f>RANK(J372,$J$2:$J$601,1)</f>
        <v/>
      </c>
      <c r="L372">
        <f>IF(K372&lt;=60,1,0)</f>
        <v/>
      </c>
      <c r="M372">
        <f>IF(MOD(A372-7,10)=0,1,0)</f>
        <v/>
      </c>
      <c r="N372">
        <f>COUNTIFS($B$2:$B$601,B372,$J$2:$J$601,"&lt;"&amp;J372)+1</f>
        <v/>
      </c>
      <c r="O372">
        <f>ROUND(COUNTIF($B$2:$B$601,B372)/600*60,0)</f>
        <v/>
      </c>
      <c r="P372">
        <f>IF(N372&lt;=O372,1,0)</f>
        <v/>
      </c>
      <c r="Q372">
        <f>IF(OR(C372=4,C372=15,C372=27),1,0)</f>
        <v/>
      </c>
      <c r="R372">
        <f>IF(I372&lt;=60,1,0)</f>
        <v/>
      </c>
    </row>
    <row r="373">
      <c r="A373" t="n">
        <v>372</v>
      </c>
      <c r="B373" t="n">
        <v>3</v>
      </c>
      <c r="C373" t="n">
        <v>19</v>
      </c>
      <c r="D373" t="n">
        <v>2</v>
      </c>
      <c r="E373" t="n">
        <v>80</v>
      </c>
      <c r="F373" t="n">
        <v>1</v>
      </c>
      <c r="G373" t="n">
        <v>141</v>
      </c>
      <c r="H373" t="n">
        <v>1</v>
      </c>
      <c r="I373" t="n">
        <v>215</v>
      </c>
      <c r="J373" t="n">
        <v>0.21125</v>
      </c>
      <c r="K373">
        <f>RANK(J373,$J$2:$J$601,1)</f>
        <v/>
      </c>
      <c r="L373">
        <f>IF(K373&lt;=60,1,0)</f>
        <v/>
      </c>
      <c r="M373">
        <f>IF(MOD(A373-7,10)=0,1,0)</f>
        <v/>
      </c>
      <c r="N373">
        <f>COUNTIFS($B$2:$B$601,B373,$J$2:$J$601,"&lt;"&amp;J373)+1</f>
        <v/>
      </c>
      <c r="O373">
        <f>ROUND(COUNTIF($B$2:$B$601,B373)/600*60,0)</f>
        <v/>
      </c>
      <c r="P373">
        <f>IF(N373&lt;=O373,1,0)</f>
        <v/>
      </c>
      <c r="Q373">
        <f>IF(OR(C373=4,C373=15,C373=27),1,0)</f>
        <v/>
      </c>
      <c r="R373">
        <f>IF(I373&lt;=60,1,0)</f>
        <v/>
      </c>
    </row>
    <row r="374">
      <c r="A374" t="n">
        <v>373</v>
      </c>
      <c r="B374" t="n">
        <v>3</v>
      </c>
      <c r="C374" t="n">
        <v>19</v>
      </c>
      <c r="D374" t="n">
        <v>2</v>
      </c>
      <c r="E374" t="n">
        <v>41</v>
      </c>
      <c r="F374" t="n">
        <v>0</v>
      </c>
      <c r="G374" t="n">
        <v>127</v>
      </c>
      <c r="H374" t="n">
        <v>0</v>
      </c>
      <c r="I374" t="n">
        <v>403</v>
      </c>
      <c r="J374" t="n">
        <v>0.092526</v>
      </c>
      <c r="K374">
        <f>RANK(J374,$J$2:$J$601,1)</f>
        <v/>
      </c>
      <c r="L374">
        <f>IF(K374&lt;=60,1,0)</f>
        <v/>
      </c>
      <c r="M374">
        <f>IF(MOD(A374-7,10)=0,1,0)</f>
        <v/>
      </c>
      <c r="N374">
        <f>COUNTIFS($B$2:$B$601,B374,$J$2:$J$601,"&lt;"&amp;J374)+1</f>
        <v/>
      </c>
      <c r="O374">
        <f>ROUND(COUNTIF($B$2:$B$601,B374)/600*60,0)</f>
        <v/>
      </c>
      <c r="P374">
        <f>IF(N374&lt;=O374,1,0)</f>
        <v/>
      </c>
      <c r="Q374">
        <f>IF(OR(C374=4,C374=15,C374=27),1,0)</f>
        <v/>
      </c>
      <c r="R374">
        <f>IF(I374&lt;=60,1,0)</f>
        <v/>
      </c>
    </row>
    <row r="375">
      <c r="A375" t="n">
        <v>374</v>
      </c>
      <c r="B375" t="n">
        <v>3</v>
      </c>
      <c r="C375" t="n">
        <v>19</v>
      </c>
      <c r="D375" t="n">
        <v>1</v>
      </c>
      <c r="E375" t="n">
        <v>71</v>
      </c>
      <c r="F375" t="n">
        <v>0</v>
      </c>
      <c r="G375" t="n">
        <v>119</v>
      </c>
      <c r="H375" t="n">
        <v>0</v>
      </c>
      <c r="I375" t="n">
        <v>321</v>
      </c>
      <c r="J375" t="n">
        <v>0.060554</v>
      </c>
      <c r="K375">
        <f>RANK(J375,$J$2:$J$601,1)</f>
        <v/>
      </c>
      <c r="L375">
        <f>IF(K375&lt;=60,1,0)</f>
        <v/>
      </c>
      <c r="M375">
        <f>IF(MOD(A375-7,10)=0,1,0)</f>
        <v/>
      </c>
      <c r="N375">
        <f>COUNTIFS($B$2:$B$601,B375,$J$2:$J$601,"&lt;"&amp;J375)+1</f>
        <v/>
      </c>
      <c r="O375">
        <f>ROUND(COUNTIF($B$2:$B$601,B375)/600*60,0)</f>
        <v/>
      </c>
      <c r="P375">
        <f>IF(N375&lt;=O375,1,0)</f>
        <v/>
      </c>
      <c r="Q375">
        <f>IF(OR(C375=4,C375=15,C375=27),1,0)</f>
        <v/>
      </c>
      <c r="R375">
        <f>IF(I375&lt;=60,1,0)</f>
        <v/>
      </c>
    </row>
    <row r="376">
      <c r="A376" t="n">
        <v>375</v>
      </c>
      <c r="B376" t="n">
        <v>3</v>
      </c>
      <c r="C376" t="n">
        <v>19</v>
      </c>
      <c r="D376" t="n">
        <v>2</v>
      </c>
      <c r="E376" t="n">
        <v>42</v>
      </c>
      <c r="F376" t="n">
        <v>1</v>
      </c>
      <c r="G376" t="n">
        <v>116</v>
      </c>
      <c r="H376" t="n">
        <v>0</v>
      </c>
      <c r="I376" t="n">
        <v>596</v>
      </c>
      <c r="J376" t="n">
        <v>0.838174</v>
      </c>
      <c r="K376">
        <f>RANK(J376,$J$2:$J$601,1)</f>
        <v/>
      </c>
      <c r="L376">
        <f>IF(K376&lt;=60,1,0)</f>
        <v/>
      </c>
      <c r="M376">
        <f>IF(MOD(A376-7,10)=0,1,0)</f>
        <v/>
      </c>
      <c r="N376">
        <f>COUNTIFS($B$2:$B$601,B376,$J$2:$J$601,"&lt;"&amp;J376)+1</f>
        <v/>
      </c>
      <c r="O376">
        <f>ROUND(COUNTIF($B$2:$B$601,B376)/600*60,0)</f>
        <v/>
      </c>
      <c r="P376">
        <f>IF(N376&lt;=O376,1,0)</f>
        <v/>
      </c>
      <c r="Q376">
        <f>IF(OR(C376=4,C376=15,C376=27),1,0)</f>
        <v/>
      </c>
      <c r="R376">
        <f>IF(I376&lt;=60,1,0)</f>
        <v/>
      </c>
    </row>
    <row r="377">
      <c r="A377" t="n">
        <v>376</v>
      </c>
      <c r="B377" t="n">
        <v>3</v>
      </c>
      <c r="C377" t="n">
        <v>19</v>
      </c>
      <c r="D377" t="n">
        <v>2</v>
      </c>
      <c r="E377" t="n">
        <v>71</v>
      </c>
      <c r="F377" t="n">
        <v>0</v>
      </c>
      <c r="G377" t="n">
        <v>139</v>
      </c>
      <c r="H377" t="n">
        <v>0</v>
      </c>
      <c r="I377" t="n">
        <v>224</v>
      </c>
      <c r="J377" t="n">
        <v>0.553005</v>
      </c>
      <c r="K377">
        <f>RANK(J377,$J$2:$J$601,1)</f>
        <v/>
      </c>
      <c r="L377">
        <f>IF(K377&lt;=60,1,0)</f>
        <v/>
      </c>
      <c r="M377">
        <f>IF(MOD(A377-7,10)=0,1,0)</f>
        <v/>
      </c>
      <c r="N377">
        <f>COUNTIFS($B$2:$B$601,B377,$J$2:$J$601,"&lt;"&amp;J377)+1</f>
        <v/>
      </c>
      <c r="O377">
        <f>ROUND(COUNTIF($B$2:$B$601,B377)/600*60,0)</f>
        <v/>
      </c>
      <c r="P377">
        <f>IF(N377&lt;=O377,1,0)</f>
        <v/>
      </c>
      <c r="Q377">
        <f>IF(OR(C377=4,C377=15,C377=27),1,0)</f>
        <v/>
      </c>
      <c r="R377">
        <f>IF(I377&lt;=60,1,0)</f>
        <v/>
      </c>
    </row>
    <row r="378">
      <c r="A378" t="n">
        <v>377</v>
      </c>
      <c r="B378" t="n">
        <v>3</v>
      </c>
      <c r="C378" t="n">
        <v>19</v>
      </c>
      <c r="D378" t="n">
        <v>2</v>
      </c>
      <c r="E378" t="n">
        <v>51</v>
      </c>
      <c r="F378" t="n">
        <v>0</v>
      </c>
      <c r="G378" t="n">
        <v>143</v>
      </c>
      <c r="H378" t="n">
        <v>1</v>
      </c>
      <c r="I378" t="n">
        <v>21</v>
      </c>
      <c r="J378" t="n">
        <v>0.028323</v>
      </c>
      <c r="K378">
        <f>RANK(J378,$J$2:$J$601,1)</f>
        <v/>
      </c>
      <c r="L378">
        <f>IF(K378&lt;=60,1,0)</f>
        <v/>
      </c>
      <c r="M378">
        <f>IF(MOD(A378-7,10)=0,1,0)</f>
        <v/>
      </c>
      <c r="N378">
        <f>COUNTIFS($B$2:$B$601,B378,$J$2:$J$601,"&lt;"&amp;J378)+1</f>
        <v/>
      </c>
      <c r="O378">
        <f>ROUND(COUNTIF($B$2:$B$601,B378)/600*60,0)</f>
        <v/>
      </c>
      <c r="P378">
        <f>IF(N378&lt;=O378,1,0)</f>
        <v/>
      </c>
      <c r="Q378">
        <f>IF(OR(C378=4,C378=15,C378=27),1,0)</f>
        <v/>
      </c>
      <c r="R378">
        <f>IF(I378&lt;=60,1,0)</f>
        <v/>
      </c>
    </row>
    <row r="379">
      <c r="A379" t="n">
        <v>378</v>
      </c>
      <c r="B379" t="n">
        <v>3</v>
      </c>
      <c r="C379" t="n">
        <v>19</v>
      </c>
      <c r="D379" t="n">
        <v>2</v>
      </c>
      <c r="E379" t="n">
        <v>75</v>
      </c>
      <c r="F379" t="n">
        <v>0</v>
      </c>
      <c r="G379" t="n">
        <v>138</v>
      </c>
      <c r="H379" t="n">
        <v>0</v>
      </c>
      <c r="I379" t="n">
        <v>195</v>
      </c>
      <c r="J379" t="n">
        <v>0.889213</v>
      </c>
      <c r="K379">
        <f>RANK(J379,$J$2:$J$601,1)</f>
        <v/>
      </c>
      <c r="L379">
        <f>IF(K379&lt;=60,1,0)</f>
        <v/>
      </c>
      <c r="M379">
        <f>IF(MOD(A379-7,10)=0,1,0)</f>
        <v/>
      </c>
      <c r="N379">
        <f>COUNTIFS($B$2:$B$601,B379,$J$2:$J$601,"&lt;"&amp;J379)+1</f>
        <v/>
      </c>
      <c r="O379">
        <f>ROUND(COUNTIF($B$2:$B$601,B379)/600*60,0)</f>
        <v/>
      </c>
      <c r="P379">
        <f>IF(N379&lt;=O379,1,0)</f>
        <v/>
      </c>
      <c r="Q379">
        <f>IF(OR(C379=4,C379=15,C379=27),1,0)</f>
        <v/>
      </c>
      <c r="R379">
        <f>IF(I379&lt;=60,1,0)</f>
        <v/>
      </c>
    </row>
    <row r="380">
      <c r="A380" t="n">
        <v>379</v>
      </c>
      <c r="B380" t="n">
        <v>3</v>
      </c>
      <c r="C380" t="n">
        <v>19</v>
      </c>
      <c r="D380" t="n">
        <v>1</v>
      </c>
      <c r="E380" t="n">
        <v>47</v>
      </c>
      <c r="F380" t="n">
        <v>1</v>
      </c>
      <c r="G380" t="n">
        <v>133</v>
      </c>
      <c r="H380" t="n">
        <v>0</v>
      </c>
      <c r="I380" t="n">
        <v>509</v>
      </c>
      <c r="J380" t="n">
        <v>0.939086</v>
      </c>
      <c r="K380">
        <f>RANK(J380,$J$2:$J$601,1)</f>
        <v/>
      </c>
      <c r="L380">
        <f>IF(K380&lt;=60,1,0)</f>
        <v/>
      </c>
      <c r="M380">
        <f>IF(MOD(A380-7,10)=0,1,0)</f>
        <v/>
      </c>
      <c r="N380">
        <f>COUNTIFS($B$2:$B$601,B380,$J$2:$J$601,"&lt;"&amp;J380)+1</f>
        <v/>
      </c>
      <c r="O380">
        <f>ROUND(COUNTIF($B$2:$B$601,B380)/600*60,0)</f>
        <v/>
      </c>
      <c r="P380">
        <f>IF(N380&lt;=O380,1,0)</f>
        <v/>
      </c>
      <c r="Q380">
        <f>IF(OR(C380=4,C380=15,C380=27),1,0)</f>
        <v/>
      </c>
      <c r="R380">
        <f>IF(I380&lt;=60,1,0)</f>
        <v/>
      </c>
    </row>
    <row r="381">
      <c r="A381" t="n">
        <v>380</v>
      </c>
      <c r="B381" t="n">
        <v>3</v>
      </c>
      <c r="C381" t="n">
        <v>19</v>
      </c>
      <c r="D381" t="n">
        <v>2</v>
      </c>
      <c r="E381" t="n">
        <v>45</v>
      </c>
      <c r="F381" t="n">
        <v>0</v>
      </c>
      <c r="G381" t="n">
        <v>123</v>
      </c>
      <c r="H381" t="n">
        <v>0</v>
      </c>
      <c r="I381" t="n">
        <v>365</v>
      </c>
      <c r="J381" t="n">
        <v>0.097709</v>
      </c>
      <c r="K381">
        <f>RANK(J381,$J$2:$J$601,1)</f>
        <v/>
      </c>
      <c r="L381">
        <f>IF(K381&lt;=60,1,0)</f>
        <v/>
      </c>
      <c r="M381">
        <f>IF(MOD(A381-7,10)=0,1,0)</f>
        <v/>
      </c>
      <c r="N381">
        <f>COUNTIFS($B$2:$B$601,B381,$J$2:$J$601,"&lt;"&amp;J381)+1</f>
        <v/>
      </c>
      <c r="O381">
        <f>ROUND(COUNTIF($B$2:$B$601,B381)/600*60,0)</f>
        <v/>
      </c>
      <c r="P381">
        <f>IF(N381&lt;=O381,1,0)</f>
        <v/>
      </c>
      <c r="Q381">
        <f>IF(OR(C381=4,C381=15,C381=27),1,0)</f>
        <v/>
      </c>
      <c r="R381">
        <f>IF(I381&lt;=60,1,0)</f>
        <v/>
      </c>
    </row>
    <row r="382">
      <c r="A382" t="n">
        <v>381</v>
      </c>
      <c r="B382" t="n">
        <v>3</v>
      </c>
      <c r="C382" t="n">
        <v>20</v>
      </c>
      <c r="D382" t="n">
        <v>2</v>
      </c>
      <c r="E382" t="n">
        <v>45</v>
      </c>
      <c r="F382" t="n">
        <v>0</v>
      </c>
      <c r="G382" t="n">
        <v>114</v>
      </c>
      <c r="H382" t="n">
        <v>0</v>
      </c>
      <c r="I382" t="n">
        <v>464</v>
      </c>
      <c r="J382" t="n">
        <v>0.493558</v>
      </c>
      <c r="K382">
        <f>RANK(J382,$J$2:$J$601,1)</f>
        <v/>
      </c>
      <c r="L382">
        <f>IF(K382&lt;=60,1,0)</f>
        <v/>
      </c>
      <c r="M382">
        <f>IF(MOD(A382-7,10)=0,1,0)</f>
        <v/>
      </c>
      <c r="N382">
        <f>COUNTIFS($B$2:$B$601,B382,$J$2:$J$601,"&lt;"&amp;J382)+1</f>
        <v/>
      </c>
      <c r="O382">
        <f>ROUND(COUNTIF($B$2:$B$601,B382)/600*60,0)</f>
        <v/>
      </c>
      <c r="P382">
        <f>IF(N382&lt;=O382,1,0)</f>
        <v/>
      </c>
      <c r="Q382">
        <f>IF(OR(C382=4,C382=15,C382=27),1,0)</f>
        <v/>
      </c>
      <c r="R382">
        <f>IF(I382&lt;=60,1,0)</f>
        <v/>
      </c>
    </row>
    <row r="383">
      <c r="A383" t="n">
        <v>382</v>
      </c>
      <c r="B383" t="n">
        <v>3</v>
      </c>
      <c r="C383" t="n">
        <v>20</v>
      </c>
      <c r="D383" t="n">
        <v>1</v>
      </c>
      <c r="E383" t="n">
        <v>70</v>
      </c>
      <c r="F383" t="n">
        <v>0</v>
      </c>
      <c r="G383" t="n">
        <v>122</v>
      </c>
      <c r="H383" t="n">
        <v>0</v>
      </c>
      <c r="I383" t="n">
        <v>292</v>
      </c>
      <c r="J383" t="n">
        <v>0.270024</v>
      </c>
      <c r="K383">
        <f>RANK(J383,$J$2:$J$601,1)</f>
        <v/>
      </c>
      <c r="L383">
        <f>IF(K383&lt;=60,1,0)</f>
        <v/>
      </c>
      <c r="M383">
        <f>IF(MOD(A383-7,10)=0,1,0)</f>
        <v/>
      </c>
      <c r="N383">
        <f>COUNTIFS($B$2:$B$601,B383,$J$2:$J$601,"&lt;"&amp;J383)+1</f>
        <v/>
      </c>
      <c r="O383">
        <f>ROUND(COUNTIF($B$2:$B$601,B383)/600*60,0)</f>
        <v/>
      </c>
      <c r="P383">
        <f>IF(N383&lt;=O383,1,0)</f>
        <v/>
      </c>
      <c r="Q383">
        <f>IF(OR(C383=4,C383=15,C383=27),1,0)</f>
        <v/>
      </c>
      <c r="R383">
        <f>IF(I383&lt;=60,1,0)</f>
        <v/>
      </c>
    </row>
    <row r="384">
      <c r="A384" t="n">
        <v>383</v>
      </c>
      <c r="B384" t="n">
        <v>3</v>
      </c>
      <c r="C384" t="n">
        <v>20</v>
      </c>
      <c r="D384" t="n">
        <v>1</v>
      </c>
      <c r="E384" t="n">
        <v>59</v>
      </c>
      <c r="F384" t="n">
        <v>0</v>
      </c>
      <c r="G384" t="n">
        <v>141</v>
      </c>
      <c r="H384" t="n">
        <v>1</v>
      </c>
      <c r="I384" t="n">
        <v>65</v>
      </c>
      <c r="J384" t="n">
        <v>0.257325</v>
      </c>
      <c r="K384">
        <f>RANK(J384,$J$2:$J$601,1)</f>
        <v/>
      </c>
      <c r="L384">
        <f>IF(K384&lt;=60,1,0)</f>
        <v/>
      </c>
      <c r="M384">
        <f>IF(MOD(A384-7,10)=0,1,0)</f>
        <v/>
      </c>
      <c r="N384">
        <f>COUNTIFS($B$2:$B$601,B384,$J$2:$J$601,"&lt;"&amp;J384)+1</f>
        <v/>
      </c>
      <c r="O384">
        <f>ROUND(COUNTIF($B$2:$B$601,B384)/600*60,0)</f>
        <v/>
      </c>
      <c r="P384">
        <f>IF(N384&lt;=O384,1,0)</f>
        <v/>
      </c>
      <c r="Q384">
        <f>IF(OR(C384=4,C384=15,C384=27),1,0)</f>
        <v/>
      </c>
      <c r="R384">
        <f>IF(I384&lt;=60,1,0)</f>
        <v/>
      </c>
    </row>
    <row r="385">
      <c r="A385" t="n">
        <v>384</v>
      </c>
      <c r="B385" t="n">
        <v>3</v>
      </c>
      <c r="C385" t="n">
        <v>20</v>
      </c>
      <c r="D385" t="n">
        <v>2</v>
      </c>
      <c r="E385" t="n">
        <v>73</v>
      </c>
      <c r="F385" t="n">
        <v>0</v>
      </c>
      <c r="G385" t="n">
        <v>115</v>
      </c>
      <c r="H385" t="n">
        <v>0</v>
      </c>
      <c r="I385" t="n">
        <v>347</v>
      </c>
      <c r="J385" t="n">
        <v>0.113247</v>
      </c>
      <c r="K385">
        <f>RANK(J385,$J$2:$J$601,1)</f>
        <v/>
      </c>
      <c r="L385">
        <f>IF(K385&lt;=60,1,0)</f>
        <v/>
      </c>
      <c r="M385">
        <f>IF(MOD(A385-7,10)=0,1,0)</f>
        <v/>
      </c>
      <c r="N385">
        <f>COUNTIFS($B$2:$B$601,B385,$J$2:$J$601,"&lt;"&amp;J385)+1</f>
        <v/>
      </c>
      <c r="O385">
        <f>ROUND(COUNTIF($B$2:$B$601,B385)/600*60,0)</f>
        <v/>
      </c>
      <c r="P385">
        <f>IF(N385&lt;=O385,1,0)</f>
        <v/>
      </c>
      <c r="Q385">
        <f>IF(OR(C385=4,C385=15,C385=27),1,0)</f>
        <v/>
      </c>
      <c r="R385">
        <f>IF(I385&lt;=60,1,0)</f>
        <v/>
      </c>
    </row>
    <row r="386">
      <c r="A386" t="n">
        <v>385</v>
      </c>
      <c r="B386" t="n">
        <v>3</v>
      </c>
      <c r="C386" t="n">
        <v>20</v>
      </c>
      <c r="D386" t="n">
        <v>2</v>
      </c>
      <c r="E386" t="n">
        <v>62</v>
      </c>
      <c r="F386" t="n">
        <v>0</v>
      </c>
      <c r="G386" t="n">
        <v>139</v>
      </c>
      <c r="H386" t="n">
        <v>0</v>
      </c>
      <c r="I386" t="n">
        <v>316</v>
      </c>
      <c r="J386" t="n">
        <v>0.332453</v>
      </c>
      <c r="K386">
        <f>RANK(J386,$J$2:$J$601,1)</f>
        <v/>
      </c>
      <c r="L386">
        <f>IF(K386&lt;=60,1,0)</f>
        <v/>
      </c>
      <c r="M386">
        <f>IF(MOD(A386-7,10)=0,1,0)</f>
        <v/>
      </c>
      <c r="N386">
        <f>COUNTIFS($B$2:$B$601,B386,$J$2:$J$601,"&lt;"&amp;J386)+1</f>
        <v/>
      </c>
      <c r="O386">
        <f>ROUND(COUNTIF($B$2:$B$601,B386)/600*60,0)</f>
        <v/>
      </c>
      <c r="P386">
        <f>IF(N386&lt;=O386,1,0)</f>
        <v/>
      </c>
      <c r="Q386">
        <f>IF(OR(C386=4,C386=15,C386=27),1,0)</f>
        <v/>
      </c>
      <c r="R386">
        <f>IF(I386&lt;=60,1,0)</f>
        <v/>
      </c>
    </row>
    <row r="387">
      <c r="A387" t="n">
        <v>386</v>
      </c>
      <c r="B387" t="n">
        <v>3</v>
      </c>
      <c r="C387" t="n">
        <v>20</v>
      </c>
      <c r="D387" t="n">
        <v>1</v>
      </c>
      <c r="E387" t="n">
        <v>56</v>
      </c>
      <c r="F387" t="n">
        <v>0</v>
      </c>
      <c r="G387" t="n">
        <v>115</v>
      </c>
      <c r="H387" t="n">
        <v>0</v>
      </c>
      <c r="I387" t="n">
        <v>557</v>
      </c>
      <c r="J387" t="n">
        <v>0.247418</v>
      </c>
      <c r="K387">
        <f>RANK(J387,$J$2:$J$601,1)</f>
        <v/>
      </c>
      <c r="L387">
        <f>IF(K387&lt;=60,1,0)</f>
        <v/>
      </c>
      <c r="M387">
        <f>IF(MOD(A387-7,10)=0,1,0)</f>
        <v/>
      </c>
      <c r="N387">
        <f>COUNTIFS($B$2:$B$601,B387,$J$2:$J$601,"&lt;"&amp;J387)+1</f>
        <v/>
      </c>
      <c r="O387">
        <f>ROUND(COUNTIF($B$2:$B$601,B387)/600*60,0)</f>
        <v/>
      </c>
      <c r="P387">
        <f>IF(N387&lt;=O387,1,0)</f>
        <v/>
      </c>
      <c r="Q387">
        <f>IF(OR(C387=4,C387=15,C387=27),1,0)</f>
        <v/>
      </c>
      <c r="R387">
        <f>IF(I387&lt;=60,1,0)</f>
        <v/>
      </c>
    </row>
    <row r="388">
      <c r="A388" t="n">
        <v>387</v>
      </c>
      <c r="B388" t="n">
        <v>3</v>
      </c>
      <c r="C388" t="n">
        <v>20</v>
      </c>
      <c r="D388" t="n">
        <v>1</v>
      </c>
      <c r="E388" t="n">
        <v>74</v>
      </c>
      <c r="F388" t="n">
        <v>0</v>
      </c>
      <c r="G388" t="n">
        <v>129</v>
      </c>
      <c r="H388" t="n">
        <v>0</v>
      </c>
      <c r="I388" t="n">
        <v>191</v>
      </c>
      <c r="J388" t="n">
        <v>0.149072</v>
      </c>
      <c r="K388">
        <f>RANK(J388,$J$2:$J$601,1)</f>
        <v/>
      </c>
      <c r="L388">
        <f>IF(K388&lt;=60,1,0)</f>
        <v/>
      </c>
      <c r="M388">
        <f>IF(MOD(A388-7,10)=0,1,0)</f>
        <v/>
      </c>
      <c r="N388">
        <f>COUNTIFS($B$2:$B$601,B388,$J$2:$J$601,"&lt;"&amp;J388)+1</f>
        <v/>
      </c>
      <c r="O388">
        <f>ROUND(COUNTIF($B$2:$B$601,B388)/600*60,0)</f>
        <v/>
      </c>
      <c r="P388">
        <f>IF(N388&lt;=O388,1,0)</f>
        <v/>
      </c>
      <c r="Q388">
        <f>IF(OR(C388=4,C388=15,C388=27),1,0)</f>
        <v/>
      </c>
      <c r="R388">
        <f>IF(I388&lt;=60,1,0)</f>
        <v/>
      </c>
    </row>
    <row r="389">
      <c r="A389" t="n">
        <v>388</v>
      </c>
      <c r="B389" t="n">
        <v>3</v>
      </c>
      <c r="C389" t="n">
        <v>20</v>
      </c>
      <c r="D389" t="n">
        <v>1</v>
      </c>
      <c r="E389" t="n">
        <v>76</v>
      </c>
      <c r="F389" t="n">
        <v>0</v>
      </c>
      <c r="G389" t="n">
        <v>111</v>
      </c>
      <c r="H389" t="n">
        <v>0</v>
      </c>
      <c r="I389" t="n">
        <v>144</v>
      </c>
      <c r="J389" t="n">
        <v>0.062154</v>
      </c>
      <c r="K389">
        <f>RANK(J389,$J$2:$J$601,1)</f>
        <v/>
      </c>
      <c r="L389">
        <f>IF(K389&lt;=60,1,0)</f>
        <v/>
      </c>
      <c r="M389">
        <f>IF(MOD(A389-7,10)=0,1,0)</f>
        <v/>
      </c>
      <c r="N389">
        <f>COUNTIFS($B$2:$B$601,B389,$J$2:$J$601,"&lt;"&amp;J389)+1</f>
        <v/>
      </c>
      <c r="O389">
        <f>ROUND(COUNTIF($B$2:$B$601,B389)/600*60,0)</f>
        <v/>
      </c>
      <c r="P389">
        <f>IF(N389&lt;=O389,1,0)</f>
        <v/>
      </c>
      <c r="Q389">
        <f>IF(OR(C389=4,C389=15,C389=27),1,0)</f>
        <v/>
      </c>
      <c r="R389">
        <f>IF(I389&lt;=60,1,0)</f>
        <v/>
      </c>
    </row>
    <row r="390">
      <c r="A390" t="n">
        <v>389</v>
      </c>
      <c r="B390" t="n">
        <v>3</v>
      </c>
      <c r="C390" t="n">
        <v>20</v>
      </c>
      <c r="D390" t="n">
        <v>1</v>
      </c>
      <c r="E390" t="n">
        <v>44</v>
      </c>
      <c r="F390" t="n">
        <v>0</v>
      </c>
      <c r="G390" t="n">
        <v>144</v>
      </c>
      <c r="H390" t="n">
        <v>1</v>
      </c>
      <c r="I390" t="n">
        <v>128</v>
      </c>
      <c r="J390" t="n">
        <v>0.662426</v>
      </c>
      <c r="K390">
        <f>RANK(J390,$J$2:$J$601,1)</f>
        <v/>
      </c>
      <c r="L390">
        <f>IF(K390&lt;=60,1,0)</f>
        <v/>
      </c>
      <c r="M390">
        <f>IF(MOD(A390-7,10)=0,1,0)</f>
        <v/>
      </c>
      <c r="N390">
        <f>COUNTIFS($B$2:$B$601,B390,$J$2:$J$601,"&lt;"&amp;J390)+1</f>
        <v/>
      </c>
      <c r="O390">
        <f>ROUND(COUNTIF($B$2:$B$601,B390)/600*60,0)</f>
        <v/>
      </c>
      <c r="P390">
        <f>IF(N390&lt;=O390,1,0)</f>
        <v/>
      </c>
      <c r="Q390">
        <f>IF(OR(C390=4,C390=15,C390=27),1,0)</f>
        <v/>
      </c>
      <c r="R390">
        <f>IF(I390&lt;=60,1,0)</f>
        <v/>
      </c>
    </row>
    <row r="391">
      <c r="A391" t="n">
        <v>390</v>
      </c>
      <c r="B391" t="n">
        <v>3</v>
      </c>
      <c r="C391" t="n">
        <v>20</v>
      </c>
      <c r="D391" t="n">
        <v>1</v>
      </c>
      <c r="E391" t="n">
        <v>64</v>
      </c>
      <c r="F391" t="n">
        <v>0</v>
      </c>
      <c r="G391" t="n">
        <v>120</v>
      </c>
      <c r="H391" t="n">
        <v>0</v>
      </c>
      <c r="I391" t="n">
        <v>298</v>
      </c>
      <c r="J391" t="n">
        <v>0.026079</v>
      </c>
      <c r="K391">
        <f>RANK(J391,$J$2:$J$601,1)</f>
        <v/>
      </c>
      <c r="L391">
        <f>IF(K391&lt;=60,1,0)</f>
        <v/>
      </c>
      <c r="M391">
        <f>IF(MOD(A391-7,10)=0,1,0)</f>
        <v/>
      </c>
      <c r="N391">
        <f>COUNTIFS($B$2:$B$601,B391,$J$2:$J$601,"&lt;"&amp;J391)+1</f>
        <v/>
      </c>
      <c r="O391">
        <f>ROUND(COUNTIF($B$2:$B$601,B391)/600*60,0)</f>
        <v/>
      </c>
      <c r="P391">
        <f>IF(N391&lt;=O391,1,0)</f>
        <v/>
      </c>
      <c r="Q391">
        <f>IF(OR(C391=4,C391=15,C391=27),1,0)</f>
        <v/>
      </c>
      <c r="R391">
        <f>IF(I391&lt;=60,1,0)</f>
        <v/>
      </c>
    </row>
    <row r="392">
      <c r="A392" t="n">
        <v>391</v>
      </c>
      <c r="B392" t="n">
        <v>3</v>
      </c>
      <c r="C392" t="n">
        <v>20</v>
      </c>
      <c r="D392" t="n">
        <v>2</v>
      </c>
      <c r="E392" t="n">
        <v>75</v>
      </c>
      <c r="F392" t="n">
        <v>0</v>
      </c>
      <c r="G392" t="n">
        <v>146</v>
      </c>
      <c r="H392" t="n">
        <v>1</v>
      </c>
      <c r="I392" t="n">
        <v>130</v>
      </c>
      <c r="J392" t="n">
        <v>0.582515</v>
      </c>
      <c r="K392">
        <f>RANK(J392,$J$2:$J$601,1)</f>
        <v/>
      </c>
      <c r="L392">
        <f>IF(K392&lt;=60,1,0)</f>
        <v/>
      </c>
      <c r="M392">
        <f>IF(MOD(A392-7,10)=0,1,0)</f>
        <v/>
      </c>
      <c r="N392">
        <f>COUNTIFS($B$2:$B$601,B392,$J$2:$J$601,"&lt;"&amp;J392)+1</f>
        <v/>
      </c>
      <c r="O392">
        <f>ROUND(COUNTIF($B$2:$B$601,B392)/600*60,0)</f>
        <v/>
      </c>
      <c r="P392">
        <f>IF(N392&lt;=O392,1,0)</f>
        <v/>
      </c>
      <c r="Q392">
        <f>IF(OR(C392=4,C392=15,C392=27),1,0)</f>
        <v/>
      </c>
      <c r="R392">
        <f>IF(I392&lt;=60,1,0)</f>
        <v/>
      </c>
    </row>
    <row r="393">
      <c r="A393" t="n">
        <v>392</v>
      </c>
      <c r="B393" t="n">
        <v>3</v>
      </c>
      <c r="C393" t="n">
        <v>20</v>
      </c>
      <c r="D393" t="n">
        <v>2</v>
      </c>
      <c r="E393" t="n">
        <v>51</v>
      </c>
      <c r="F393" t="n">
        <v>0</v>
      </c>
      <c r="G393" t="n">
        <v>122</v>
      </c>
      <c r="H393" t="n">
        <v>0</v>
      </c>
      <c r="I393" t="n">
        <v>444</v>
      </c>
      <c r="J393" t="n">
        <v>0.814465</v>
      </c>
      <c r="K393">
        <f>RANK(J393,$J$2:$J$601,1)</f>
        <v/>
      </c>
      <c r="L393">
        <f>IF(K393&lt;=60,1,0)</f>
        <v/>
      </c>
      <c r="M393">
        <f>IF(MOD(A393-7,10)=0,1,0)</f>
        <v/>
      </c>
      <c r="N393">
        <f>COUNTIFS($B$2:$B$601,B393,$J$2:$J$601,"&lt;"&amp;J393)+1</f>
        <v/>
      </c>
      <c r="O393">
        <f>ROUND(COUNTIF($B$2:$B$601,B393)/600*60,0)</f>
        <v/>
      </c>
      <c r="P393">
        <f>IF(N393&lt;=O393,1,0)</f>
        <v/>
      </c>
      <c r="Q393">
        <f>IF(OR(C393=4,C393=15,C393=27),1,0)</f>
        <v/>
      </c>
      <c r="R393">
        <f>IF(I393&lt;=60,1,0)</f>
        <v/>
      </c>
    </row>
    <row r="394">
      <c r="A394" t="n">
        <v>393</v>
      </c>
      <c r="B394" t="n">
        <v>3</v>
      </c>
      <c r="C394" t="n">
        <v>20</v>
      </c>
      <c r="D394" t="n">
        <v>2</v>
      </c>
      <c r="E394" t="n">
        <v>48</v>
      </c>
      <c r="F394" t="n">
        <v>1</v>
      </c>
      <c r="G394" t="n">
        <v>126</v>
      </c>
      <c r="H394" t="n">
        <v>0</v>
      </c>
      <c r="I394" t="n">
        <v>269</v>
      </c>
      <c r="J394" t="n">
        <v>0.142479</v>
      </c>
      <c r="K394">
        <f>RANK(J394,$J$2:$J$601,1)</f>
        <v/>
      </c>
      <c r="L394">
        <f>IF(K394&lt;=60,1,0)</f>
        <v/>
      </c>
      <c r="M394">
        <f>IF(MOD(A394-7,10)=0,1,0)</f>
        <v/>
      </c>
      <c r="N394">
        <f>COUNTIFS($B$2:$B$601,B394,$J$2:$J$601,"&lt;"&amp;J394)+1</f>
        <v/>
      </c>
      <c r="O394">
        <f>ROUND(COUNTIF($B$2:$B$601,B394)/600*60,0)</f>
        <v/>
      </c>
      <c r="P394">
        <f>IF(N394&lt;=O394,1,0)</f>
        <v/>
      </c>
      <c r="Q394">
        <f>IF(OR(C394=4,C394=15,C394=27),1,0)</f>
        <v/>
      </c>
      <c r="R394">
        <f>IF(I394&lt;=60,1,0)</f>
        <v/>
      </c>
    </row>
    <row r="395">
      <c r="A395" t="n">
        <v>394</v>
      </c>
      <c r="B395" t="n">
        <v>3</v>
      </c>
      <c r="C395" t="n">
        <v>20</v>
      </c>
      <c r="D395" t="n">
        <v>2</v>
      </c>
      <c r="E395" t="n">
        <v>34</v>
      </c>
      <c r="F395" t="n">
        <v>0</v>
      </c>
      <c r="G395" t="n">
        <v>125</v>
      </c>
      <c r="H395" t="n">
        <v>0</v>
      </c>
      <c r="I395" t="n">
        <v>568</v>
      </c>
      <c r="J395" t="n">
        <v>0.274258</v>
      </c>
      <c r="K395">
        <f>RANK(J395,$J$2:$J$601,1)</f>
        <v/>
      </c>
      <c r="L395">
        <f>IF(K395&lt;=60,1,0)</f>
        <v/>
      </c>
      <c r="M395">
        <f>IF(MOD(A395-7,10)=0,1,0)</f>
        <v/>
      </c>
      <c r="N395">
        <f>COUNTIFS($B$2:$B$601,B395,$J$2:$J$601,"&lt;"&amp;J395)+1</f>
        <v/>
      </c>
      <c r="O395">
        <f>ROUND(COUNTIF($B$2:$B$601,B395)/600*60,0)</f>
        <v/>
      </c>
      <c r="P395">
        <f>IF(N395&lt;=O395,1,0)</f>
        <v/>
      </c>
      <c r="Q395">
        <f>IF(OR(C395=4,C395=15,C395=27),1,0)</f>
        <v/>
      </c>
      <c r="R395">
        <f>IF(I395&lt;=60,1,0)</f>
        <v/>
      </c>
    </row>
    <row r="396">
      <c r="A396" t="n">
        <v>395</v>
      </c>
      <c r="B396" t="n">
        <v>3</v>
      </c>
      <c r="C396" t="n">
        <v>20</v>
      </c>
      <c r="D396" t="n">
        <v>1</v>
      </c>
      <c r="E396" t="n">
        <v>75</v>
      </c>
      <c r="F396" t="n">
        <v>0</v>
      </c>
      <c r="G396" t="n">
        <v>151</v>
      </c>
      <c r="H396" t="n">
        <v>1</v>
      </c>
      <c r="I396" t="n">
        <v>33</v>
      </c>
      <c r="J396" t="n">
        <v>0.494841</v>
      </c>
      <c r="K396">
        <f>RANK(J396,$J$2:$J$601,1)</f>
        <v/>
      </c>
      <c r="L396">
        <f>IF(K396&lt;=60,1,0)</f>
        <v/>
      </c>
      <c r="M396">
        <f>IF(MOD(A396-7,10)=0,1,0)</f>
        <v/>
      </c>
      <c r="N396">
        <f>COUNTIFS($B$2:$B$601,B396,$J$2:$J$601,"&lt;"&amp;J396)+1</f>
        <v/>
      </c>
      <c r="O396">
        <f>ROUND(COUNTIF($B$2:$B$601,B396)/600*60,0)</f>
        <v/>
      </c>
      <c r="P396">
        <f>IF(N396&lt;=O396,1,0)</f>
        <v/>
      </c>
      <c r="Q396">
        <f>IF(OR(C396=4,C396=15,C396=27),1,0)</f>
        <v/>
      </c>
      <c r="R396">
        <f>IF(I396&lt;=60,1,0)</f>
        <v/>
      </c>
    </row>
    <row r="397">
      <c r="A397" t="n">
        <v>396</v>
      </c>
      <c r="B397" t="n">
        <v>3</v>
      </c>
      <c r="C397" t="n">
        <v>20</v>
      </c>
      <c r="D397" t="n">
        <v>1</v>
      </c>
      <c r="E397" t="n">
        <v>30</v>
      </c>
      <c r="F397" t="n">
        <v>0</v>
      </c>
      <c r="G397" t="n">
        <v>119</v>
      </c>
      <c r="H397" t="n">
        <v>0</v>
      </c>
      <c r="I397" t="n">
        <v>524</v>
      </c>
      <c r="J397" t="n">
        <v>0.50124</v>
      </c>
      <c r="K397">
        <f>RANK(J397,$J$2:$J$601,1)</f>
        <v/>
      </c>
      <c r="L397">
        <f>IF(K397&lt;=60,1,0)</f>
        <v/>
      </c>
      <c r="M397">
        <f>IF(MOD(A397-7,10)=0,1,0)</f>
        <v/>
      </c>
      <c r="N397">
        <f>COUNTIFS($B$2:$B$601,B397,$J$2:$J$601,"&lt;"&amp;J397)+1</f>
        <v/>
      </c>
      <c r="O397">
        <f>ROUND(COUNTIF($B$2:$B$601,B397)/600*60,0)</f>
        <v/>
      </c>
      <c r="P397">
        <f>IF(N397&lt;=O397,1,0)</f>
        <v/>
      </c>
      <c r="Q397">
        <f>IF(OR(C397=4,C397=15,C397=27),1,0)</f>
        <v/>
      </c>
      <c r="R397">
        <f>IF(I397&lt;=60,1,0)</f>
        <v/>
      </c>
    </row>
    <row r="398">
      <c r="A398" t="n">
        <v>397</v>
      </c>
      <c r="B398" t="n">
        <v>3</v>
      </c>
      <c r="C398" t="n">
        <v>20</v>
      </c>
      <c r="D398" t="n">
        <v>2</v>
      </c>
      <c r="E398" t="n">
        <v>52</v>
      </c>
      <c r="F398" t="n">
        <v>0</v>
      </c>
      <c r="G398" t="n">
        <v>148</v>
      </c>
      <c r="H398" t="n">
        <v>1</v>
      </c>
      <c r="I398" t="n">
        <v>84</v>
      </c>
      <c r="J398" t="n">
        <v>0.82706</v>
      </c>
      <c r="K398">
        <f>RANK(J398,$J$2:$J$601,1)</f>
        <v/>
      </c>
      <c r="L398">
        <f>IF(K398&lt;=60,1,0)</f>
        <v/>
      </c>
      <c r="M398">
        <f>IF(MOD(A398-7,10)=0,1,0)</f>
        <v/>
      </c>
      <c r="N398">
        <f>COUNTIFS($B$2:$B$601,B398,$J$2:$J$601,"&lt;"&amp;J398)+1</f>
        <v/>
      </c>
      <c r="O398">
        <f>ROUND(COUNTIF($B$2:$B$601,B398)/600*60,0)</f>
        <v/>
      </c>
      <c r="P398">
        <f>IF(N398&lt;=O398,1,0)</f>
        <v/>
      </c>
      <c r="Q398">
        <f>IF(OR(C398=4,C398=15,C398=27),1,0)</f>
        <v/>
      </c>
      <c r="R398">
        <f>IF(I398&lt;=60,1,0)</f>
        <v/>
      </c>
    </row>
    <row r="399">
      <c r="A399" t="n">
        <v>398</v>
      </c>
      <c r="B399" t="n">
        <v>3</v>
      </c>
      <c r="C399" t="n">
        <v>20</v>
      </c>
      <c r="D399" t="n">
        <v>2</v>
      </c>
      <c r="E399" t="n">
        <v>64</v>
      </c>
      <c r="F399" t="n">
        <v>0</v>
      </c>
      <c r="G399" t="n">
        <v>143</v>
      </c>
      <c r="H399" t="n">
        <v>1</v>
      </c>
      <c r="I399" t="n">
        <v>107</v>
      </c>
      <c r="J399" t="n">
        <v>0.321594</v>
      </c>
      <c r="K399">
        <f>RANK(J399,$J$2:$J$601,1)</f>
        <v/>
      </c>
      <c r="L399">
        <f>IF(K399&lt;=60,1,0)</f>
        <v/>
      </c>
      <c r="M399">
        <f>IF(MOD(A399-7,10)=0,1,0)</f>
        <v/>
      </c>
      <c r="N399">
        <f>COUNTIFS($B$2:$B$601,B399,$J$2:$J$601,"&lt;"&amp;J399)+1</f>
        <v/>
      </c>
      <c r="O399">
        <f>ROUND(COUNTIF($B$2:$B$601,B399)/600*60,0)</f>
        <v/>
      </c>
      <c r="P399">
        <f>IF(N399&lt;=O399,1,0)</f>
        <v/>
      </c>
      <c r="Q399">
        <f>IF(OR(C399=4,C399=15,C399=27),1,0)</f>
        <v/>
      </c>
      <c r="R399">
        <f>IF(I399&lt;=60,1,0)</f>
        <v/>
      </c>
    </row>
    <row r="400">
      <c r="A400" t="n">
        <v>399</v>
      </c>
      <c r="B400" t="n">
        <v>3</v>
      </c>
      <c r="C400" t="n">
        <v>20</v>
      </c>
      <c r="D400" t="n">
        <v>1</v>
      </c>
      <c r="E400" t="n">
        <v>69</v>
      </c>
      <c r="F400" t="n">
        <v>0</v>
      </c>
      <c r="G400" t="n">
        <v>136</v>
      </c>
      <c r="H400" t="n">
        <v>0</v>
      </c>
      <c r="I400" t="n">
        <v>235</v>
      </c>
      <c r="J400" t="n">
        <v>0.344155</v>
      </c>
      <c r="K400">
        <f>RANK(J400,$J$2:$J$601,1)</f>
        <v/>
      </c>
      <c r="L400">
        <f>IF(K400&lt;=60,1,0)</f>
        <v/>
      </c>
      <c r="M400">
        <f>IF(MOD(A400-7,10)=0,1,0)</f>
        <v/>
      </c>
      <c r="N400">
        <f>COUNTIFS($B$2:$B$601,B400,$J$2:$J$601,"&lt;"&amp;J400)+1</f>
        <v/>
      </c>
      <c r="O400">
        <f>ROUND(COUNTIF($B$2:$B$601,B400)/600*60,0)</f>
        <v/>
      </c>
      <c r="P400">
        <f>IF(N400&lt;=O400,1,0)</f>
        <v/>
      </c>
      <c r="Q400">
        <f>IF(OR(C400=4,C400=15,C400=27),1,0)</f>
        <v/>
      </c>
      <c r="R400">
        <f>IF(I400&lt;=60,1,0)</f>
        <v/>
      </c>
    </row>
    <row r="401">
      <c r="A401" t="n">
        <v>400</v>
      </c>
      <c r="B401" t="n">
        <v>3</v>
      </c>
      <c r="C401" t="n">
        <v>20</v>
      </c>
      <c r="D401" t="n">
        <v>1</v>
      </c>
      <c r="E401" t="n">
        <v>33</v>
      </c>
      <c r="F401" t="n">
        <v>0</v>
      </c>
      <c r="G401" t="n">
        <v>115</v>
      </c>
      <c r="H401" t="n">
        <v>0</v>
      </c>
      <c r="I401" t="n">
        <v>547</v>
      </c>
      <c r="J401" t="n">
        <v>0.026067</v>
      </c>
      <c r="K401">
        <f>RANK(J401,$J$2:$J$601,1)</f>
        <v/>
      </c>
      <c r="L401">
        <f>IF(K401&lt;=60,1,0)</f>
        <v/>
      </c>
      <c r="M401">
        <f>IF(MOD(A401-7,10)=0,1,0)</f>
        <v/>
      </c>
      <c r="N401">
        <f>COUNTIFS($B$2:$B$601,B401,$J$2:$J$601,"&lt;"&amp;J401)+1</f>
        <v/>
      </c>
      <c r="O401">
        <f>ROUND(COUNTIF($B$2:$B$601,B401)/600*60,0)</f>
        <v/>
      </c>
      <c r="P401">
        <f>IF(N401&lt;=O401,1,0)</f>
        <v/>
      </c>
      <c r="Q401">
        <f>IF(OR(C401=4,C401=15,C401=27),1,0)</f>
        <v/>
      </c>
      <c r="R401">
        <f>IF(I401&lt;=60,1,0)</f>
        <v/>
      </c>
    </row>
    <row r="402">
      <c r="A402" t="n">
        <v>401</v>
      </c>
      <c r="B402" t="n">
        <v>3</v>
      </c>
      <c r="C402" t="n">
        <v>21</v>
      </c>
      <c r="D402" t="n">
        <v>1</v>
      </c>
      <c r="E402" t="n">
        <v>43</v>
      </c>
      <c r="F402" t="n">
        <v>0</v>
      </c>
      <c r="G402" t="n">
        <v>104</v>
      </c>
      <c r="H402" t="n">
        <v>0</v>
      </c>
      <c r="I402" t="n">
        <v>120</v>
      </c>
      <c r="J402" t="n">
        <v>0.678163</v>
      </c>
      <c r="K402">
        <f>RANK(J402,$J$2:$J$601,1)</f>
        <v/>
      </c>
      <c r="L402">
        <f>IF(K402&lt;=60,1,0)</f>
        <v/>
      </c>
      <c r="M402">
        <f>IF(MOD(A402-7,10)=0,1,0)</f>
        <v/>
      </c>
      <c r="N402">
        <f>COUNTIFS($B$2:$B$601,B402,$J$2:$J$601,"&lt;"&amp;J402)+1</f>
        <v/>
      </c>
      <c r="O402">
        <f>ROUND(COUNTIF($B$2:$B$601,B402)/600*60,0)</f>
        <v/>
      </c>
      <c r="P402">
        <f>IF(N402&lt;=O402,1,0)</f>
        <v/>
      </c>
      <c r="Q402">
        <f>IF(OR(C402=4,C402=15,C402=27),1,0)</f>
        <v/>
      </c>
      <c r="R402">
        <f>IF(I402&lt;=60,1,0)</f>
        <v/>
      </c>
    </row>
    <row r="403">
      <c r="A403" t="n">
        <v>402</v>
      </c>
      <c r="B403" t="n">
        <v>3</v>
      </c>
      <c r="C403" t="n">
        <v>21</v>
      </c>
      <c r="D403" t="n">
        <v>2</v>
      </c>
      <c r="E403" t="n">
        <v>48</v>
      </c>
      <c r="F403" t="n">
        <v>0</v>
      </c>
      <c r="G403" t="n">
        <v>99</v>
      </c>
      <c r="H403" t="n">
        <v>0</v>
      </c>
      <c r="I403" t="n">
        <v>395</v>
      </c>
      <c r="J403" t="n">
        <v>0.09832200000000001</v>
      </c>
      <c r="K403">
        <f>RANK(J403,$J$2:$J$601,1)</f>
        <v/>
      </c>
      <c r="L403">
        <f>IF(K403&lt;=60,1,0)</f>
        <v/>
      </c>
      <c r="M403">
        <f>IF(MOD(A403-7,10)=0,1,0)</f>
        <v/>
      </c>
      <c r="N403">
        <f>COUNTIFS($B$2:$B$601,B403,$J$2:$J$601,"&lt;"&amp;J403)+1</f>
        <v/>
      </c>
      <c r="O403">
        <f>ROUND(COUNTIF($B$2:$B$601,B403)/600*60,0)</f>
        <v/>
      </c>
      <c r="P403">
        <f>IF(N403&lt;=O403,1,0)</f>
        <v/>
      </c>
      <c r="Q403">
        <f>IF(OR(C403=4,C403=15,C403=27),1,0)</f>
        <v/>
      </c>
      <c r="R403">
        <f>IF(I403&lt;=60,1,0)</f>
        <v/>
      </c>
    </row>
    <row r="404">
      <c r="A404" t="n">
        <v>403</v>
      </c>
      <c r="B404" t="n">
        <v>3</v>
      </c>
      <c r="C404" t="n">
        <v>21</v>
      </c>
      <c r="D404" t="n">
        <v>2</v>
      </c>
      <c r="E404" t="n">
        <v>79</v>
      </c>
      <c r="F404" t="n">
        <v>1</v>
      </c>
      <c r="G404" t="n">
        <v>150</v>
      </c>
      <c r="H404" t="n">
        <v>1</v>
      </c>
      <c r="I404" t="n">
        <v>98</v>
      </c>
      <c r="J404" t="n">
        <v>0.324528</v>
      </c>
      <c r="K404">
        <f>RANK(J404,$J$2:$J$601,1)</f>
        <v/>
      </c>
      <c r="L404">
        <f>IF(K404&lt;=60,1,0)</f>
        <v/>
      </c>
      <c r="M404">
        <f>IF(MOD(A404-7,10)=0,1,0)</f>
        <v/>
      </c>
      <c r="N404">
        <f>COUNTIFS($B$2:$B$601,B404,$J$2:$J$601,"&lt;"&amp;J404)+1</f>
        <v/>
      </c>
      <c r="O404">
        <f>ROUND(COUNTIF($B$2:$B$601,B404)/600*60,0)</f>
        <v/>
      </c>
      <c r="P404">
        <f>IF(N404&lt;=O404,1,0)</f>
        <v/>
      </c>
      <c r="Q404">
        <f>IF(OR(C404=4,C404=15,C404=27),1,0)</f>
        <v/>
      </c>
      <c r="R404">
        <f>IF(I404&lt;=60,1,0)</f>
        <v/>
      </c>
    </row>
    <row r="405">
      <c r="A405" t="n">
        <v>404</v>
      </c>
      <c r="B405" t="n">
        <v>3</v>
      </c>
      <c r="C405" t="n">
        <v>21</v>
      </c>
      <c r="D405" t="n">
        <v>2</v>
      </c>
      <c r="E405" t="n">
        <v>52</v>
      </c>
      <c r="F405" t="n">
        <v>1</v>
      </c>
      <c r="G405" t="n">
        <v>109</v>
      </c>
      <c r="H405" t="n">
        <v>0</v>
      </c>
      <c r="I405" t="n">
        <v>213</v>
      </c>
      <c r="J405" t="n">
        <v>0.806509</v>
      </c>
      <c r="K405">
        <f>RANK(J405,$J$2:$J$601,1)</f>
        <v/>
      </c>
      <c r="L405">
        <f>IF(K405&lt;=60,1,0)</f>
        <v/>
      </c>
      <c r="M405">
        <f>IF(MOD(A405-7,10)=0,1,0)</f>
        <v/>
      </c>
      <c r="N405">
        <f>COUNTIFS($B$2:$B$601,B405,$J$2:$J$601,"&lt;"&amp;J405)+1</f>
        <v/>
      </c>
      <c r="O405">
        <f>ROUND(COUNTIF($B$2:$B$601,B405)/600*60,0)</f>
        <v/>
      </c>
      <c r="P405">
        <f>IF(N405&lt;=O405,1,0)</f>
        <v/>
      </c>
      <c r="Q405">
        <f>IF(OR(C405=4,C405=15,C405=27),1,0)</f>
        <v/>
      </c>
      <c r="R405">
        <f>IF(I405&lt;=60,1,0)</f>
        <v/>
      </c>
    </row>
    <row r="406">
      <c r="A406" t="n">
        <v>405</v>
      </c>
      <c r="B406" t="n">
        <v>3</v>
      </c>
      <c r="C406" t="n">
        <v>21</v>
      </c>
      <c r="D406" t="n">
        <v>2</v>
      </c>
      <c r="E406" t="n">
        <v>45</v>
      </c>
      <c r="F406" t="n">
        <v>1</v>
      </c>
      <c r="G406" t="n">
        <v>155</v>
      </c>
      <c r="H406" t="n">
        <v>1</v>
      </c>
      <c r="I406" t="n">
        <v>190</v>
      </c>
      <c r="J406" t="n">
        <v>0.278253</v>
      </c>
      <c r="K406">
        <f>RANK(J406,$J$2:$J$601,1)</f>
        <v/>
      </c>
      <c r="L406">
        <f>IF(K406&lt;=60,1,0)</f>
        <v/>
      </c>
      <c r="M406">
        <f>IF(MOD(A406-7,10)=0,1,0)</f>
        <v/>
      </c>
      <c r="N406">
        <f>COUNTIFS($B$2:$B$601,B406,$J$2:$J$601,"&lt;"&amp;J406)+1</f>
        <v/>
      </c>
      <c r="O406">
        <f>ROUND(COUNTIF($B$2:$B$601,B406)/600*60,0)</f>
        <v/>
      </c>
      <c r="P406">
        <f>IF(N406&lt;=O406,1,0)</f>
        <v/>
      </c>
      <c r="Q406">
        <f>IF(OR(C406=4,C406=15,C406=27),1,0)</f>
        <v/>
      </c>
      <c r="R406">
        <f>IF(I406&lt;=60,1,0)</f>
        <v/>
      </c>
    </row>
    <row r="407">
      <c r="A407" t="n">
        <v>406</v>
      </c>
      <c r="B407" t="n">
        <v>3</v>
      </c>
      <c r="C407" t="n">
        <v>21</v>
      </c>
      <c r="D407" t="n">
        <v>1</v>
      </c>
      <c r="E407" t="n">
        <v>73</v>
      </c>
      <c r="F407" t="n">
        <v>0</v>
      </c>
      <c r="G407" t="n">
        <v>145</v>
      </c>
      <c r="H407" t="n">
        <v>1</v>
      </c>
      <c r="I407" t="n">
        <v>12</v>
      </c>
      <c r="J407" t="n">
        <v>0.86872</v>
      </c>
      <c r="K407">
        <f>RANK(J407,$J$2:$J$601,1)</f>
        <v/>
      </c>
      <c r="L407">
        <f>IF(K407&lt;=60,1,0)</f>
        <v/>
      </c>
      <c r="M407">
        <f>IF(MOD(A407-7,10)=0,1,0)</f>
        <v/>
      </c>
      <c r="N407">
        <f>COUNTIFS($B$2:$B$601,B407,$J$2:$J$601,"&lt;"&amp;J407)+1</f>
        <v/>
      </c>
      <c r="O407">
        <f>ROUND(COUNTIF($B$2:$B$601,B407)/600*60,0)</f>
        <v/>
      </c>
      <c r="P407">
        <f>IF(N407&lt;=O407,1,0)</f>
        <v/>
      </c>
      <c r="Q407">
        <f>IF(OR(C407=4,C407=15,C407=27),1,0)</f>
        <v/>
      </c>
      <c r="R407">
        <f>IF(I407&lt;=60,1,0)</f>
        <v/>
      </c>
    </row>
    <row r="408">
      <c r="A408" t="n">
        <v>407</v>
      </c>
      <c r="B408" t="n">
        <v>3</v>
      </c>
      <c r="C408" t="n">
        <v>21</v>
      </c>
      <c r="D408" t="n">
        <v>1</v>
      </c>
      <c r="E408" t="n">
        <v>66</v>
      </c>
      <c r="F408" t="n">
        <v>0</v>
      </c>
      <c r="G408" t="n">
        <v>125</v>
      </c>
      <c r="H408" t="n">
        <v>0</v>
      </c>
      <c r="I408" t="n">
        <v>185</v>
      </c>
      <c r="J408" t="n">
        <v>0.228097</v>
      </c>
      <c r="K408">
        <f>RANK(J408,$J$2:$J$601,1)</f>
        <v/>
      </c>
      <c r="L408">
        <f>IF(K408&lt;=60,1,0)</f>
        <v/>
      </c>
      <c r="M408">
        <f>IF(MOD(A408-7,10)=0,1,0)</f>
        <v/>
      </c>
      <c r="N408">
        <f>COUNTIFS($B$2:$B$601,B408,$J$2:$J$601,"&lt;"&amp;J408)+1</f>
        <v/>
      </c>
      <c r="O408">
        <f>ROUND(COUNTIF($B$2:$B$601,B408)/600*60,0)</f>
        <v/>
      </c>
      <c r="P408">
        <f>IF(N408&lt;=O408,1,0)</f>
        <v/>
      </c>
      <c r="Q408">
        <f>IF(OR(C408=4,C408=15,C408=27),1,0)</f>
        <v/>
      </c>
      <c r="R408">
        <f>IF(I408&lt;=60,1,0)</f>
        <v/>
      </c>
    </row>
    <row r="409">
      <c r="A409" t="n">
        <v>408</v>
      </c>
      <c r="B409" t="n">
        <v>3</v>
      </c>
      <c r="C409" t="n">
        <v>21</v>
      </c>
      <c r="D409" t="n">
        <v>2</v>
      </c>
      <c r="E409" t="n">
        <v>78</v>
      </c>
      <c r="F409" t="n">
        <v>0</v>
      </c>
      <c r="G409" t="n">
        <v>141</v>
      </c>
      <c r="H409" t="n">
        <v>1</v>
      </c>
      <c r="I409" t="n">
        <v>54</v>
      </c>
      <c r="J409" t="n">
        <v>0.904208</v>
      </c>
      <c r="K409">
        <f>RANK(J409,$J$2:$J$601,1)</f>
        <v/>
      </c>
      <c r="L409">
        <f>IF(K409&lt;=60,1,0)</f>
        <v/>
      </c>
      <c r="M409">
        <f>IF(MOD(A409-7,10)=0,1,0)</f>
        <v/>
      </c>
      <c r="N409">
        <f>COUNTIFS($B$2:$B$601,B409,$J$2:$J$601,"&lt;"&amp;J409)+1</f>
        <v/>
      </c>
      <c r="O409">
        <f>ROUND(COUNTIF($B$2:$B$601,B409)/600*60,0)</f>
        <v/>
      </c>
      <c r="P409">
        <f>IF(N409&lt;=O409,1,0)</f>
        <v/>
      </c>
      <c r="Q409">
        <f>IF(OR(C409=4,C409=15,C409=27),1,0)</f>
        <v/>
      </c>
      <c r="R409">
        <f>IF(I409&lt;=60,1,0)</f>
        <v/>
      </c>
    </row>
    <row r="410">
      <c r="A410" t="n">
        <v>409</v>
      </c>
      <c r="B410" t="n">
        <v>3</v>
      </c>
      <c r="C410" t="n">
        <v>21</v>
      </c>
      <c r="D410" t="n">
        <v>2</v>
      </c>
      <c r="E410" t="n">
        <v>77</v>
      </c>
      <c r="F410" t="n">
        <v>1</v>
      </c>
      <c r="G410" t="n">
        <v>143</v>
      </c>
      <c r="H410" t="n">
        <v>1</v>
      </c>
      <c r="I410" t="n">
        <v>10</v>
      </c>
      <c r="J410" t="n">
        <v>0.874124</v>
      </c>
      <c r="K410">
        <f>RANK(J410,$J$2:$J$601,1)</f>
        <v/>
      </c>
      <c r="L410">
        <f>IF(K410&lt;=60,1,0)</f>
        <v/>
      </c>
      <c r="M410">
        <f>IF(MOD(A410-7,10)=0,1,0)</f>
        <v/>
      </c>
      <c r="N410">
        <f>COUNTIFS($B$2:$B$601,B410,$J$2:$J$601,"&lt;"&amp;J410)+1</f>
        <v/>
      </c>
      <c r="O410">
        <f>ROUND(COUNTIF($B$2:$B$601,B410)/600*60,0)</f>
        <v/>
      </c>
      <c r="P410">
        <f>IF(N410&lt;=O410,1,0)</f>
        <v/>
      </c>
      <c r="Q410">
        <f>IF(OR(C410=4,C410=15,C410=27),1,0)</f>
        <v/>
      </c>
      <c r="R410">
        <f>IF(I410&lt;=60,1,0)</f>
        <v/>
      </c>
    </row>
    <row r="411">
      <c r="A411" t="n">
        <v>410</v>
      </c>
      <c r="B411" t="n">
        <v>3</v>
      </c>
      <c r="C411" t="n">
        <v>21</v>
      </c>
      <c r="D411" t="n">
        <v>2</v>
      </c>
      <c r="E411" t="n">
        <v>60</v>
      </c>
      <c r="F411" t="n">
        <v>1</v>
      </c>
      <c r="G411" t="n">
        <v>127</v>
      </c>
      <c r="H411" t="n">
        <v>0</v>
      </c>
      <c r="I411" t="n">
        <v>173</v>
      </c>
      <c r="J411" t="n">
        <v>0.885277</v>
      </c>
      <c r="K411">
        <f>RANK(J411,$J$2:$J$601,1)</f>
        <v/>
      </c>
      <c r="L411">
        <f>IF(K411&lt;=60,1,0)</f>
        <v/>
      </c>
      <c r="M411">
        <f>IF(MOD(A411-7,10)=0,1,0)</f>
        <v/>
      </c>
      <c r="N411">
        <f>COUNTIFS($B$2:$B$601,B411,$J$2:$J$601,"&lt;"&amp;J411)+1</f>
        <v/>
      </c>
      <c r="O411">
        <f>ROUND(COUNTIF($B$2:$B$601,B411)/600*60,0)</f>
        <v/>
      </c>
      <c r="P411">
        <f>IF(N411&lt;=O411,1,0)</f>
        <v/>
      </c>
      <c r="Q411">
        <f>IF(OR(C411=4,C411=15,C411=27),1,0)</f>
        <v/>
      </c>
      <c r="R411">
        <f>IF(I411&lt;=60,1,0)</f>
        <v/>
      </c>
    </row>
    <row r="412">
      <c r="A412" t="n">
        <v>411</v>
      </c>
      <c r="B412" t="n">
        <v>3</v>
      </c>
      <c r="C412" t="n">
        <v>21</v>
      </c>
      <c r="D412" t="n">
        <v>1</v>
      </c>
      <c r="E412" t="n">
        <v>61</v>
      </c>
      <c r="F412" t="n">
        <v>0</v>
      </c>
      <c r="G412" t="n">
        <v>118</v>
      </c>
      <c r="H412" t="n">
        <v>0</v>
      </c>
      <c r="I412" t="n">
        <v>519</v>
      </c>
      <c r="J412" t="n">
        <v>0.029101</v>
      </c>
      <c r="K412">
        <f>RANK(J412,$J$2:$J$601,1)</f>
        <v/>
      </c>
      <c r="L412">
        <f>IF(K412&lt;=60,1,0)</f>
        <v/>
      </c>
      <c r="M412">
        <f>IF(MOD(A412-7,10)=0,1,0)</f>
        <v/>
      </c>
      <c r="N412">
        <f>COUNTIFS($B$2:$B$601,B412,$J$2:$J$601,"&lt;"&amp;J412)+1</f>
        <v/>
      </c>
      <c r="O412">
        <f>ROUND(COUNTIF($B$2:$B$601,B412)/600*60,0)</f>
        <v/>
      </c>
      <c r="P412">
        <f>IF(N412&lt;=O412,1,0)</f>
        <v/>
      </c>
      <c r="Q412">
        <f>IF(OR(C412=4,C412=15,C412=27),1,0)</f>
        <v/>
      </c>
      <c r="R412">
        <f>IF(I412&lt;=60,1,0)</f>
        <v/>
      </c>
    </row>
    <row r="413">
      <c r="A413" t="n">
        <v>412</v>
      </c>
      <c r="B413" t="n">
        <v>3</v>
      </c>
      <c r="C413" t="n">
        <v>21</v>
      </c>
      <c r="D413" t="n">
        <v>2</v>
      </c>
      <c r="E413" t="n">
        <v>54</v>
      </c>
      <c r="F413" t="n">
        <v>0</v>
      </c>
      <c r="G413" t="n">
        <v>123</v>
      </c>
      <c r="H413" t="n">
        <v>0</v>
      </c>
      <c r="I413" t="n">
        <v>469</v>
      </c>
      <c r="J413" t="n">
        <v>0.542581</v>
      </c>
      <c r="K413">
        <f>RANK(J413,$J$2:$J$601,1)</f>
        <v/>
      </c>
      <c r="L413">
        <f>IF(K413&lt;=60,1,0)</f>
        <v/>
      </c>
      <c r="M413">
        <f>IF(MOD(A413-7,10)=0,1,0)</f>
        <v/>
      </c>
      <c r="N413">
        <f>COUNTIFS($B$2:$B$601,B413,$J$2:$J$601,"&lt;"&amp;J413)+1</f>
        <v/>
      </c>
      <c r="O413">
        <f>ROUND(COUNTIF($B$2:$B$601,B413)/600*60,0)</f>
        <v/>
      </c>
      <c r="P413">
        <f>IF(N413&lt;=O413,1,0)</f>
        <v/>
      </c>
      <c r="Q413">
        <f>IF(OR(C413=4,C413=15,C413=27),1,0)</f>
        <v/>
      </c>
      <c r="R413">
        <f>IF(I413&lt;=60,1,0)</f>
        <v/>
      </c>
    </row>
    <row r="414">
      <c r="A414" t="n">
        <v>413</v>
      </c>
      <c r="B414" t="n">
        <v>3</v>
      </c>
      <c r="C414" t="n">
        <v>21</v>
      </c>
      <c r="D414" t="n">
        <v>2</v>
      </c>
      <c r="E414" t="n">
        <v>49</v>
      </c>
      <c r="F414" t="n">
        <v>0</v>
      </c>
      <c r="G414" t="n">
        <v>110</v>
      </c>
      <c r="H414" t="n">
        <v>0</v>
      </c>
      <c r="I414" t="n">
        <v>536</v>
      </c>
      <c r="J414" t="n">
        <v>0.30092</v>
      </c>
      <c r="K414">
        <f>RANK(J414,$J$2:$J$601,1)</f>
        <v/>
      </c>
      <c r="L414">
        <f>IF(K414&lt;=60,1,0)</f>
        <v/>
      </c>
      <c r="M414">
        <f>IF(MOD(A414-7,10)=0,1,0)</f>
        <v/>
      </c>
      <c r="N414">
        <f>COUNTIFS($B$2:$B$601,B414,$J$2:$J$601,"&lt;"&amp;J414)+1</f>
        <v/>
      </c>
      <c r="O414">
        <f>ROUND(COUNTIF($B$2:$B$601,B414)/600*60,0)</f>
        <v/>
      </c>
      <c r="P414">
        <f>IF(N414&lt;=O414,1,0)</f>
        <v/>
      </c>
      <c r="Q414">
        <f>IF(OR(C414=4,C414=15,C414=27),1,0)</f>
        <v/>
      </c>
      <c r="R414">
        <f>IF(I414&lt;=60,1,0)</f>
        <v/>
      </c>
    </row>
    <row r="415">
      <c r="A415" t="n">
        <v>414</v>
      </c>
      <c r="B415" t="n">
        <v>3</v>
      </c>
      <c r="C415" t="n">
        <v>21</v>
      </c>
      <c r="D415" t="n">
        <v>2</v>
      </c>
      <c r="E415" t="n">
        <v>48</v>
      </c>
      <c r="F415" t="n">
        <v>1</v>
      </c>
      <c r="G415" t="n">
        <v>142</v>
      </c>
      <c r="H415" t="n">
        <v>1</v>
      </c>
      <c r="I415" t="n">
        <v>116</v>
      </c>
      <c r="J415" t="n">
        <v>0.717714</v>
      </c>
      <c r="K415">
        <f>RANK(J415,$J$2:$J$601,1)</f>
        <v/>
      </c>
      <c r="L415">
        <f>IF(K415&lt;=60,1,0)</f>
        <v/>
      </c>
      <c r="M415">
        <f>IF(MOD(A415-7,10)=0,1,0)</f>
        <v/>
      </c>
      <c r="N415">
        <f>COUNTIFS($B$2:$B$601,B415,$J$2:$J$601,"&lt;"&amp;J415)+1</f>
        <v/>
      </c>
      <c r="O415">
        <f>ROUND(COUNTIF($B$2:$B$601,B415)/600*60,0)</f>
        <v/>
      </c>
      <c r="P415">
        <f>IF(N415&lt;=O415,1,0)</f>
        <v/>
      </c>
      <c r="Q415">
        <f>IF(OR(C415=4,C415=15,C415=27),1,0)</f>
        <v/>
      </c>
      <c r="R415">
        <f>IF(I415&lt;=60,1,0)</f>
        <v/>
      </c>
    </row>
    <row r="416">
      <c r="A416" t="n">
        <v>415</v>
      </c>
      <c r="B416" t="n">
        <v>3</v>
      </c>
      <c r="C416" t="n">
        <v>21</v>
      </c>
      <c r="D416" t="n">
        <v>2</v>
      </c>
      <c r="E416" t="n">
        <v>76</v>
      </c>
      <c r="F416" t="n">
        <v>1</v>
      </c>
      <c r="G416" t="n">
        <v>162</v>
      </c>
      <c r="H416" t="n">
        <v>1</v>
      </c>
      <c r="I416" t="n">
        <v>192</v>
      </c>
      <c r="J416" t="n">
        <v>0.138743</v>
      </c>
      <c r="K416">
        <f>RANK(J416,$J$2:$J$601,1)</f>
        <v/>
      </c>
      <c r="L416">
        <f>IF(K416&lt;=60,1,0)</f>
        <v/>
      </c>
      <c r="M416">
        <f>IF(MOD(A416-7,10)=0,1,0)</f>
        <v/>
      </c>
      <c r="N416">
        <f>COUNTIFS($B$2:$B$601,B416,$J$2:$J$601,"&lt;"&amp;J416)+1</f>
        <v/>
      </c>
      <c r="O416">
        <f>ROUND(COUNTIF($B$2:$B$601,B416)/600*60,0)</f>
        <v/>
      </c>
      <c r="P416">
        <f>IF(N416&lt;=O416,1,0)</f>
        <v/>
      </c>
      <c r="Q416">
        <f>IF(OR(C416=4,C416=15,C416=27),1,0)</f>
        <v/>
      </c>
      <c r="R416">
        <f>IF(I416&lt;=60,1,0)</f>
        <v/>
      </c>
    </row>
    <row r="417">
      <c r="A417" t="n">
        <v>416</v>
      </c>
      <c r="B417" t="n">
        <v>3</v>
      </c>
      <c r="C417" t="n">
        <v>21</v>
      </c>
      <c r="D417" t="n">
        <v>1</v>
      </c>
      <c r="E417" t="n">
        <v>77</v>
      </c>
      <c r="F417" t="n">
        <v>0</v>
      </c>
      <c r="G417" t="n">
        <v>139</v>
      </c>
      <c r="H417" t="n">
        <v>0</v>
      </c>
      <c r="I417" t="n">
        <v>179</v>
      </c>
      <c r="J417" t="n">
        <v>0.96213</v>
      </c>
      <c r="K417">
        <f>RANK(J417,$J$2:$J$601,1)</f>
        <v/>
      </c>
      <c r="L417">
        <f>IF(K417&lt;=60,1,0)</f>
        <v/>
      </c>
      <c r="M417">
        <f>IF(MOD(A417-7,10)=0,1,0)</f>
        <v/>
      </c>
      <c r="N417">
        <f>COUNTIFS($B$2:$B$601,B417,$J$2:$J$601,"&lt;"&amp;J417)+1</f>
        <v/>
      </c>
      <c r="O417">
        <f>ROUND(COUNTIF($B$2:$B$601,B417)/600*60,0)</f>
        <v/>
      </c>
      <c r="P417">
        <f>IF(N417&lt;=O417,1,0)</f>
        <v/>
      </c>
      <c r="Q417">
        <f>IF(OR(C417=4,C417=15,C417=27),1,0)</f>
        <v/>
      </c>
      <c r="R417">
        <f>IF(I417&lt;=60,1,0)</f>
        <v/>
      </c>
    </row>
    <row r="418">
      <c r="A418" t="n">
        <v>417</v>
      </c>
      <c r="B418" t="n">
        <v>3</v>
      </c>
      <c r="C418" t="n">
        <v>21</v>
      </c>
      <c r="D418" t="n">
        <v>2</v>
      </c>
      <c r="E418" t="n">
        <v>61</v>
      </c>
      <c r="F418" t="n">
        <v>0</v>
      </c>
      <c r="G418" t="n">
        <v>133</v>
      </c>
      <c r="H418" t="n">
        <v>0</v>
      </c>
      <c r="I418" t="n">
        <v>413</v>
      </c>
      <c r="J418" t="n">
        <v>0.454533</v>
      </c>
      <c r="K418">
        <f>RANK(J418,$J$2:$J$601,1)</f>
        <v/>
      </c>
      <c r="L418">
        <f>IF(K418&lt;=60,1,0)</f>
        <v/>
      </c>
      <c r="M418">
        <f>IF(MOD(A418-7,10)=0,1,0)</f>
        <v/>
      </c>
      <c r="N418">
        <f>COUNTIFS($B$2:$B$601,B418,$J$2:$J$601,"&lt;"&amp;J418)+1</f>
        <v/>
      </c>
      <c r="O418">
        <f>ROUND(COUNTIF($B$2:$B$601,B418)/600*60,0)</f>
        <v/>
      </c>
      <c r="P418">
        <f>IF(N418&lt;=O418,1,0)</f>
        <v/>
      </c>
      <c r="Q418">
        <f>IF(OR(C418=4,C418=15,C418=27),1,0)</f>
        <v/>
      </c>
      <c r="R418">
        <f>IF(I418&lt;=60,1,0)</f>
        <v/>
      </c>
    </row>
    <row r="419">
      <c r="A419" t="n">
        <v>418</v>
      </c>
      <c r="B419" t="n">
        <v>3</v>
      </c>
      <c r="C419" t="n">
        <v>21</v>
      </c>
      <c r="D419" t="n">
        <v>1</v>
      </c>
      <c r="E419" t="n">
        <v>38</v>
      </c>
      <c r="F419" t="n">
        <v>0</v>
      </c>
      <c r="G419" t="n">
        <v>107</v>
      </c>
      <c r="H419" t="n">
        <v>0</v>
      </c>
      <c r="I419" t="n">
        <v>598</v>
      </c>
      <c r="J419" t="n">
        <v>0.127728</v>
      </c>
      <c r="K419">
        <f>RANK(J419,$J$2:$J$601,1)</f>
        <v/>
      </c>
      <c r="L419">
        <f>IF(K419&lt;=60,1,0)</f>
        <v/>
      </c>
      <c r="M419">
        <f>IF(MOD(A419-7,10)=0,1,0)</f>
        <v/>
      </c>
      <c r="N419">
        <f>COUNTIFS($B$2:$B$601,B419,$J$2:$J$601,"&lt;"&amp;J419)+1</f>
        <v/>
      </c>
      <c r="O419">
        <f>ROUND(COUNTIF($B$2:$B$601,B419)/600*60,0)</f>
        <v/>
      </c>
      <c r="P419">
        <f>IF(N419&lt;=O419,1,0)</f>
        <v/>
      </c>
      <c r="Q419">
        <f>IF(OR(C419=4,C419=15,C419=27),1,0)</f>
        <v/>
      </c>
      <c r="R419">
        <f>IF(I419&lt;=60,1,0)</f>
        <v/>
      </c>
    </row>
    <row r="420">
      <c r="A420" t="n">
        <v>419</v>
      </c>
      <c r="B420" t="n">
        <v>3</v>
      </c>
      <c r="C420" t="n">
        <v>21</v>
      </c>
      <c r="D420" t="n">
        <v>2</v>
      </c>
      <c r="E420" t="n">
        <v>40</v>
      </c>
      <c r="F420" t="n">
        <v>0</v>
      </c>
      <c r="G420" t="n">
        <v>125</v>
      </c>
      <c r="H420" t="n">
        <v>0</v>
      </c>
      <c r="I420" t="n">
        <v>585</v>
      </c>
      <c r="J420" t="n">
        <v>0.09074</v>
      </c>
      <c r="K420">
        <f>RANK(J420,$J$2:$J$601,1)</f>
        <v/>
      </c>
      <c r="L420">
        <f>IF(K420&lt;=60,1,0)</f>
        <v/>
      </c>
      <c r="M420">
        <f>IF(MOD(A420-7,10)=0,1,0)</f>
        <v/>
      </c>
      <c r="N420">
        <f>COUNTIFS($B$2:$B$601,B420,$J$2:$J$601,"&lt;"&amp;J420)+1</f>
        <v/>
      </c>
      <c r="O420">
        <f>ROUND(COUNTIF($B$2:$B$601,B420)/600*60,0)</f>
        <v/>
      </c>
      <c r="P420">
        <f>IF(N420&lt;=O420,1,0)</f>
        <v/>
      </c>
      <c r="Q420">
        <f>IF(OR(C420=4,C420=15,C420=27),1,0)</f>
        <v/>
      </c>
      <c r="R420">
        <f>IF(I420&lt;=60,1,0)</f>
        <v/>
      </c>
    </row>
    <row r="421">
      <c r="A421" t="n">
        <v>420</v>
      </c>
      <c r="B421" t="n">
        <v>3</v>
      </c>
      <c r="C421" t="n">
        <v>21</v>
      </c>
      <c r="D421" t="n">
        <v>2</v>
      </c>
      <c r="E421" t="n">
        <v>42</v>
      </c>
      <c r="F421" t="n">
        <v>0</v>
      </c>
      <c r="G421" t="n">
        <v>126</v>
      </c>
      <c r="H421" t="n">
        <v>0</v>
      </c>
      <c r="I421" t="n">
        <v>541</v>
      </c>
      <c r="J421" t="n">
        <v>0.91196</v>
      </c>
      <c r="K421">
        <f>RANK(J421,$J$2:$J$601,1)</f>
        <v/>
      </c>
      <c r="L421">
        <f>IF(K421&lt;=60,1,0)</f>
        <v/>
      </c>
      <c r="M421">
        <f>IF(MOD(A421-7,10)=0,1,0)</f>
        <v/>
      </c>
      <c r="N421">
        <f>COUNTIFS($B$2:$B$601,B421,$J$2:$J$601,"&lt;"&amp;J421)+1</f>
        <v/>
      </c>
      <c r="O421">
        <f>ROUND(COUNTIF($B$2:$B$601,B421)/600*60,0)</f>
        <v/>
      </c>
      <c r="P421">
        <f>IF(N421&lt;=O421,1,0)</f>
        <v/>
      </c>
      <c r="Q421">
        <f>IF(OR(C421=4,C421=15,C421=27),1,0)</f>
        <v/>
      </c>
      <c r="R421">
        <f>IF(I421&lt;=60,1,0)</f>
        <v/>
      </c>
    </row>
    <row r="422">
      <c r="A422" t="n">
        <v>421</v>
      </c>
      <c r="B422" t="n">
        <v>3</v>
      </c>
      <c r="C422" t="n">
        <v>22</v>
      </c>
      <c r="D422" t="n">
        <v>1</v>
      </c>
      <c r="E422" t="n">
        <v>70</v>
      </c>
      <c r="F422" t="n">
        <v>0</v>
      </c>
      <c r="G422" t="n">
        <v>132</v>
      </c>
      <c r="H422" t="n">
        <v>0</v>
      </c>
      <c r="I422" t="n">
        <v>109</v>
      </c>
      <c r="J422" t="n">
        <v>0.129106</v>
      </c>
      <c r="K422">
        <f>RANK(J422,$J$2:$J$601,1)</f>
        <v/>
      </c>
      <c r="L422">
        <f>IF(K422&lt;=60,1,0)</f>
        <v/>
      </c>
      <c r="M422">
        <f>IF(MOD(A422-7,10)=0,1,0)</f>
        <v/>
      </c>
      <c r="N422">
        <f>COUNTIFS($B$2:$B$601,B422,$J$2:$J$601,"&lt;"&amp;J422)+1</f>
        <v/>
      </c>
      <c r="O422">
        <f>ROUND(COUNTIF($B$2:$B$601,B422)/600*60,0)</f>
        <v/>
      </c>
      <c r="P422">
        <f>IF(N422&lt;=O422,1,0)</f>
        <v/>
      </c>
      <c r="Q422">
        <f>IF(OR(C422=4,C422=15,C422=27),1,0)</f>
        <v/>
      </c>
      <c r="R422">
        <f>IF(I422&lt;=60,1,0)</f>
        <v/>
      </c>
    </row>
    <row r="423">
      <c r="A423" t="n">
        <v>422</v>
      </c>
      <c r="B423" t="n">
        <v>3</v>
      </c>
      <c r="C423" t="n">
        <v>22</v>
      </c>
      <c r="D423" t="n">
        <v>1</v>
      </c>
      <c r="E423" t="n">
        <v>79</v>
      </c>
      <c r="F423" t="n">
        <v>0</v>
      </c>
      <c r="G423" t="n">
        <v>130</v>
      </c>
      <c r="H423" t="n">
        <v>0</v>
      </c>
      <c r="I423" t="n">
        <v>430</v>
      </c>
      <c r="J423" t="n">
        <v>0.48519</v>
      </c>
      <c r="K423">
        <f>RANK(J423,$J$2:$J$601,1)</f>
        <v/>
      </c>
      <c r="L423">
        <f>IF(K423&lt;=60,1,0)</f>
        <v/>
      </c>
      <c r="M423">
        <f>IF(MOD(A423-7,10)=0,1,0)</f>
        <v/>
      </c>
      <c r="N423">
        <f>COUNTIFS($B$2:$B$601,B423,$J$2:$J$601,"&lt;"&amp;J423)+1</f>
        <v/>
      </c>
      <c r="O423">
        <f>ROUND(COUNTIF($B$2:$B$601,B423)/600*60,0)</f>
        <v/>
      </c>
      <c r="P423">
        <f>IF(N423&lt;=O423,1,0)</f>
        <v/>
      </c>
      <c r="Q423">
        <f>IF(OR(C423=4,C423=15,C423=27),1,0)</f>
        <v/>
      </c>
      <c r="R423">
        <f>IF(I423&lt;=60,1,0)</f>
        <v/>
      </c>
    </row>
    <row r="424">
      <c r="A424" t="n">
        <v>423</v>
      </c>
      <c r="B424" t="n">
        <v>3</v>
      </c>
      <c r="C424" t="n">
        <v>22</v>
      </c>
      <c r="D424" t="n">
        <v>2</v>
      </c>
      <c r="E424" t="n">
        <v>39</v>
      </c>
      <c r="F424" t="n">
        <v>0</v>
      </c>
      <c r="G424" t="n">
        <v>122</v>
      </c>
      <c r="H424" t="n">
        <v>0</v>
      </c>
      <c r="I424" t="n">
        <v>325</v>
      </c>
      <c r="J424" t="n">
        <v>0.126289</v>
      </c>
      <c r="K424">
        <f>RANK(J424,$J$2:$J$601,1)</f>
        <v/>
      </c>
      <c r="L424">
        <f>IF(K424&lt;=60,1,0)</f>
        <v/>
      </c>
      <c r="M424">
        <f>IF(MOD(A424-7,10)=0,1,0)</f>
        <v/>
      </c>
      <c r="N424">
        <f>COUNTIFS($B$2:$B$601,B424,$J$2:$J$601,"&lt;"&amp;J424)+1</f>
        <v/>
      </c>
      <c r="O424">
        <f>ROUND(COUNTIF($B$2:$B$601,B424)/600*60,0)</f>
        <v/>
      </c>
      <c r="P424">
        <f>IF(N424&lt;=O424,1,0)</f>
        <v/>
      </c>
      <c r="Q424">
        <f>IF(OR(C424=4,C424=15,C424=27),1,0)</f>
        <v/>
      </c>
      <c r="R424">
        <f>IF(I424&lt;=60,1,0)</f>
        <v/>
      </c>
    </row>
    <row r="425">
      <c r="A425" t="n">
        <v>424</v>
      </c>
      <c r="B425" t="n">
        <v>3</v>
      </c>
      <c r="C425" t="n">
        <v>22</v>
      </c>
      <c r="D425" t="n">
        <v>2</v>
      </c>
      <c r="E425" t="n">
        <v>44</v>
      </c>
      <c r="F425" t="n">
        <v>1</v>
      </c>
      <c r="G425" t="n">
        <v>134</v>
      </c>
      <c r="H425" t="n">
        <v>0</v>
      </c>
      <c r="I425" t="n">
        <v>501</v>
      </c>
      <c r="J425" t="n">
        <v>0.540259</v>
      </c>
      <c r="K425">
        <f>RANK(J425,$J$2:$J$601,1)</f>
        <v/>
      </c>
      <c r="L425">
        <f>IF(K425&lt;=60,1,0)</f>
        <v/>
      </c>
      <c r="M425">
        <f>IF(MOD(A425-7,10)=0,1,0)</f>
        <v/>
      </c>
      <c r="N425">
        <f>COUNTIFS($B$2:$B$601,B425,$J$2:$J$601,"&lt;"&amp;J425)+1</f>
        <v/>
      </c>
      <c r="O425">
        <f>ROUND(COUNTIF($B$2:$B$601,B425)/600*60,0)</f>
        <v/>
      </c>
      <c r="P425">
        <f>IF(N425&lt;=O425,1,0)</f>
        <v/>
      </c>
      <c r="Q425">
        <f>IF(OR(C425=4,C425=15,C425=27),1,0)</f>
        <v/>
      </c>
      <c r="R425">
        <f>IF(I425&lt;=60,1,0)</f>
        <v/>
      </c>
    </row>
    <row r="426">
      <c r="A426" t="n">
        <v>425</v>
      </c>
      <c r="B426" t="n">
        <v>3</v>
      </c>
      <c r="C426" t="n">
        <v>22</v>
      </c>
      <c r="D426" t="n">
        <v>2</v>
      </c>
      <c r="E426" t="n">
        <v>70</v>
      </c>
      <c r="F426" t="n">
        <v>0</v>
      </c>
      <c r="G426" t="n">
        <v>141</v>
      </c>
      <c r="H426" t="n">
        <v>1</v>
      </c>
      <c r="I426" t="n">
        <v>145</v>
      </c>
      <c r="J426" t="n">
        <v>0.757466</v>
      </c>
      <c r="K426">
        <f>RANK(J426,$J$2:$J$601,1)</f>
        <v/>
      </c>
      <c r="L426">
        <f>IF(K426&lt;=60,1,0)</f>
        <v/>
      </c>
      <c r="M426">
        <f>IF(MOD(A426-7,10)=0,1,0)</f>
        <v/>
      </c>
      <c r="N426">
        <f>COUNTIFS($B$2:$B$601,B426,$J$2:$J$601,"&lt;"&amp;J426)+1</f>
        <v/>
      </c>
      <c r="O426">
        <f>ROUND(COUNTIF($B$2:$B$601,B426)/600*60,0)</f>
        <v/>
      </c>
      <c r="P426">
        <f>IF(N426&lt;=O426,1,0)</f>
        <v/>
      </c>
      <c r="Q426">
        <f>IF(OR(C426=4,C426=15,C426=27),1,0)</f>
        <v/>
      </c>
      <c r="R426">
        <f>IF(I426&lt;=60,1,0)</f>
        <v/>
      </c>
    </row>
    <row r="427">
      <c r="A427" t="n">
        <v>426</v>
      </c>
      <c r="B427" t="n">
        <v>3</v>
      </c>
      <c r="C427" t="n">
        <v>22</v>
      </c>
      <c r="D427" t="n">
        <v>2</v>
      </c>
      <c r="E427" t="n">
        <v>41</v>
      </c>
      <c r="F427" t="n">
        <v>1</v>
      </c>
      <c r="G427" t="n">
        <v>121</v>
      </c>
      <c r="H427" t="n">
        <v>0</v>
      </c>
      <c r="I427" t="n">
        <v>586</v>
      </c>
      <c r="J427" t="n">
        <v>0.202923</v>
      </c>
      <c r="K427">
        <f>RANK(J427,$J$2:$J$601,1)</f>
        <v/>
      </c>
      <c r="L427">
        <f>IF(K427&lt;=60,1,0)</f>
        <v/>
      </c>
      <c r="M427">
        <f>IF(MOD(A427-7,10)=0,1,0)</f>
        <v/>
      </c>
      <c r="N427">
        <f>COUNTIFS($B$2:$B$601,B427,$J$2:$J$601,"&lt;"&amp;J427)+1</f>
        <v/>
      </c>
      <c r="O427">
        <f>ROUND(COUNTIF($B$2:$B$601,B427)/600*60,0)</f>
        <v/>
      </c>
      <c r="P427">
        <f>IF(N427&lt;=O427,1,0)</f>
        <v/>
      </c>
      <c r="Q427">
        <f>IF(OR(C427=4,C427=15,C427=27),1,0)</f>
        <v/>
      </c>
      <c r="R427">
        <f>IF(I427&lt;=60,1,0)</f>
        <v/>
      </c>
    </row>
    <row r="428">
      <c r="A428" t="n">
        <v>427</v>
      </c>
      <c r="B428" t="n">
        <v>3</v>
      </c>
      <c r="C428" t="n">
        <v>22</v>
      </c>
      <c r="D428" t="n">
        <v>2</v>
      </c>
      <c r="E428" t="n">
        <v>31</v>
      </c>
      <c r="F428" t="n">
        <v>1</v>
      </c>
      <c r="G428" t="n">
        <v>116</v>
      </c>
      <c r="H428" t="n">
        <v>0</v>
      </c>
      <c r="I428" t="n">
        <v>578</v>
      </c>
      <c r="J428" t="n">
        <v>0.121512</v>
      </c>
      <c r="K428">
        <f>RANK(J428,$J$2:$J$601,1)</f>
        <v/>
      </c>
      <c r="L428">
        <f>IF(K428&lt;=60,1,0)</f>
        <v/>
      </c>
      <c r="M428">
        <f>IF(MOD(A428-7,10)=0,1,0)</f>
        <v/>
      </c>
      <c r="N428">
        <f>COUNTIFS($B$2:$B$601,B428,$J$2:$J$601,"&lt;"&amp;J428)+1</f>
        <v/>
      </c>
      <c r="O428">
        <f>ROUND(COUNTIF($B$2:$B$601,B428)/600*60,0)</f>
        <v/>
      </c>
      <c r="P428">
        <f>IF(N428&lt;=O428,1,0)</f>
        <v/>
      </c>
      <c r="Q428">
        <f>IF(OR(C428=4,C428=15,C428=27),1,0)</f>
        <v/>
      </c>
      <c r="R428">
        <f>IF(I428&lt;=60,1,0)</f>
        <v/>
      </c>
    </row>
    <row r="429">
      <c r="A429" t="n">
        <v>428</v>
      </c>
      <c r="B429" t="n">
        <v>3</v>
      </c>
      <c r="C429" t="n">
        <v>22</v>
      </c>
      <c r="D429" t="n">
        <v>2</v>
      </c>
      <c r="E429" t="n">
        <v>76</v>
      </c>
      <c r="F429" t="n">
        <v>1</v>
      </c>
      <c r="G429" t="n">
        <v>165</v>
      </c>
      <c r="H429" t="n">
        <v>1</v>
      </c>
      <c r="I429" t="n">
        <v>87</v>
      </c>
      <c r="J429" t="n">
        <v>0.230778</v>
      </c>
      <c r="K429">
        <f>RANK(J429,$J$2:$J$601,1)</f>
        <v/>
      </c>
      <c r="L429">
        <f>IF(K429&lt;=60,1,0)</f>
        <v/>
      </c>
      <c r="M429">
        <f>IF(MOD(A429-7,10)=0,1,0)</f>
        <v/>
      </c>
      <c r="N429">
        <f>COUNTIFS($B$2:$B$601,B429,$J$2:$J$601,"&lt;"&amp;J429)+1</f>
        <v/>
      </c>
      <c r="O429">
        <f>ROUND(COUNTIF($B$2:$B$601,B429)/600*60,0)</f>
        <v/>
      </c>
      <c r="P429">
        <f>IF(N429&lt;=O429,1,0)</f>
        <v/>
      </c>
      <c r="Q429">
        <f>IF(OR(C429=4,C429=15,C429=27),1,0)</f>
        <v/>
      </c>
      <c r="R429">
        <f>IF(I429&lt;=60,1,0)</f>
        <v/>
      </c>
    </row>
    <row r="430">
      <c r="A430" t="n">
        <v>429</v>
      </c>
      <c r="B430" t="n">
        <v>3</v>
      </c>
      <c r="C430" t="n">
        <v>22</v>
      </c>
      <c r="D430" t="n">
        <v>1</v>
      </c>
      <c r="E430" t="n">
        <v>45</v>
      </c>
      <c r="F430" t="n">
        <v>0</v>
      </c>
      <c r="G430" t="n">
        <v>146</v>
      </c>
      <c r="H430" t="n">
        <v>1</v>
      </c>
      <c r="I430" t="n">
        <v>117</v>
      </c>
      <c r="J430" t="n">
        <v>0.867218</v>
      </c>
      <c r="K430">
        <f>RANK(J430,$J$2:$J$601,1)</f>
        <v/>
      </c>
      <c r="L430">
        <f>IF(K430&lt;=60,1,0)</f>
        <v/>
      </c>
      <c r="M430">
        <f>IF(MOD(A430-7,10)=0,1,0)</f>
        <v/>
      </c>
      <c r="N430">
        <f>COUNTIFS($B$2:$B$601,B430,$J$2:$J$601,"&lt;"&amp;J430)+1</f>
        <v/>
      </c>
      <c r="O430">
        <f>ROUND(COUNTIF($B$2:$B$601,B430)/600*60,0)</f>
        <v/>
      </c>
      <c r="P430">
        <f>IF(N430&lt;=O430,1,0)</f>
        <v/>
      </c>
      <c r="Q430">
        <f>IF(OR(C430=4,C430=15,C430=27),1,0)</f>
        <v/>
      </c>
      <c r="R430">
        <f>IF(I430&lt;=60,1,0)</f>
        <v/>
      </c>
    </row>
    <row r="431">
      <c r="A431" t="n">
        <v>430</v>
      </c>
      <c r="B431" t="n">
        <v>3</v>
      </c>
      <c r="C431" t="n">
        <v>22</v>
      </c>
      <c r="D431" t="n">
        <v>1</v>
      </c>
      <c r="E431" t="n">
        <v>48</v>
      </c>
      <c r="F431" t="n">
        <v>0</v>
      </c>
      <c r="G431" t="n">
        <v>114</v>
      </c>
      <c r="H431" t="n">
        <v>0</v>
      </c>
      <c r="I431" t="n">
        <v>580</v>
      </c>
      <c r="J431" t="n">
        <v>0.241513</v>
      </c>
      <c r="K431">
        <f>RANK(J431,$J$2:$J$601,1)</f>
        <v/>
      </c>
      <c r="L431">
        <f>IF(K431&lt;=60,1,0)</f>
        <v/>
      </c>
      <c r="M431">
        <f>IF(MOD(A431-7,10)=0,1,0)</f>
        <v/>
      </c>
      <c r="N431">
        <f>COUNTIFS($B$2:$B$601,B431,$J$2:$J$601,"&lt;"&amp;J431)+1</f>
        <v/>
      </c>
      <c r="O431">
        <f>ROUND(COUNTIF($B$2:$B$601,B431)/600*60,0)</f>
        <v/>
      </c>
      <c r="P431">
        <f>IF(N431&lt;=O431,1,0)</f>
        <v/>
      </c>
      <c r="Q431">
        <f>IF(OR(C431=4,C431=15,C431=27),1,0)</f>
        <v/>
      </c>
      <c r="R431">
        <f>IF(I431&lt;=60,1,0)</f>
        <v/>
      </c>
    </row>
    <row r="432">
      <c r="A432" t="n">
        <v>431</v>
      </c>
      <c r="B432" t="n">
        <v>3</v>
      </c>
      <c r="C432" t="n">
        <v>22</v>
      </c>
      <c r="D432" t="n">
        <v>1</v>
      </c>
      <c r="E432" t="n">
        <v>61</v>
      </c>
      <c r="F432" t="n">
        <v>0</v>
      </c>
      <c r="G432" t="n">
        <v>111</v>
      </c>
      <c r="H432" t="n">
        <v>0</v>
      </c>
      <c r="I432" t="n">
        <v>135</v>
      </c>
      <c r="J432" t="n">
        <v>0.279349</v>
      </c>
      <c r="K432">
        <f>RANK(J432,$J$2:$J$601,1)</f>
        <v/>
      </c>
      <c r="L432">
        <f>IF(K432&lt;=60,1,0)</f>
        <v/>
      </c>
      <c r="M432">
        <f>IF(MOD(A432-7,10)=0,1,0)</f>
        <v/>
      </c>
      <c r="N432">
        <f>COUNTIFS($B$2:$B$601,B432,$J$2:$J$601,"&lt;"&amp;J432)+1</f>
        <v/>
      </c>
      <c r="O432">
        <f>ROUND(COUNTIF($B$2:$B$601,B432)/600*60,0)</f>
        <v/>
      </c>
      <c r="P432">
        <f>IF(N432&lt;=O432,1,0)</f>
        <v/>
      </c>
      <c r="Q432">
        <f>IF(OR(C432=4,C432=15,C432=27),1,0)</f>
        <v/>
      </c>
      <c r="R432">
        <f>IF(I432&lt;=60,1,0)</f>
        <v/>
      </c>
    </row>
    <row r="433">
      <c r="A433" t="n">
        <v>432</v>
      </c>
      <c r="B433" t="n">
        <v>3</v>
      </c>
      <c r="C433" t="n">
        <v>22</v>
      </c>
      <c r="D433" t="n">
        <v>2</v>
      </c>
      <c r="E433" t="n">
        <v>44</v>
      </c>
      <c r="F433" t="n">
        <v>0</v>
      </c>
      <c r="G433" t="n">
        <v>112</v>
      </c>
      <c r="H433" t="n">
        <v>0</v>
      </c>
      <c r="I433" t="n">
        <v>349</v>
      </c>
      <c r="J433" t="n">
        <v>0.474028</v>
      </c>
      <c r="K433">
        <f>RANK(J433,$J$2:$J$601,1)</f>
        <v/>
      </c>
      <c r="L433">
        <f>IF(K433&lt;=60,1,0)</f>
        <v/>
      </c>
      <c r="M433">
        <f>IF(MOD(A433-7,10)=0,1,0)</f>
        <v/>
      </c>
      <c r="N433">
        <f>COUNTIFS($B$2:$B$601,B433,$J$2:$J$601,"&lt;"&amp;J433)+1</f>
        <v/>
      </c>
      <c r="O433">
        <f>ROUND(COUNTIF($B$2:$B$601,B433)/600*60,0)</f>
        <v/>
      </c>
      <c r="P433">
        <f>IF(N433&lt;=O433,1,0)</f>
        <v/>
      </c>
      <c r="Q433">
        <f>IF(OR(C433=4,C433=15,C433=27),1,0)</f>
        <v/>
      </c>
      <c r="R433">
        <f>IF(I433&lt;=60,1,0)</f>
        <v/>
      </c>
    </row>
    <row r="434">
      <c r="A434" t="n">
        <v>433</v>
      </c>
      <c r="B434" t="n">
        <v>3</v>
      </c>
      <c r="C434" t="n">
        <v>22</v>
      </c>
      <c r="D434" t="n">
        <v>1</v>
      </c>
      <c r="E434" t="n">
        <v>51</v>
      </c>
      <c r="F434" t="n">
        <v>0</v>
      </c>
      <c r="G434" t="n">
        <v>116</v>
      </c>
      <c r="H434" t="n">
        <v>0</v>
      </c>
      <c r="I434" t="n">
        <v>382</v>
      </c>
      <c r="J434" t="n">
        <v>0.497577</v>
      </c>
      <c r="K434">
        <f>RANK(J434,$J$2:$J$601,1)</f>
        <v/>
      </c>
      <c r="L434">
        <f>IF(K434&lt;=60,1,0)</f>
        <v/>
      </c>
      <c r="M434">
        <f>IF(MOD(A434-7,10)=0,1,0)</f>
        <v/>
      </c>
      <c r="N434">
        <f>COUNTIFS($B$2:$B$601,B434,$J$2:$J$601,"&lt;"&amp;J434)+1</f>
        <v/>
      </c>
      <c r="O434">
        <f>ROUND(COUNTIF($B$2:$B$601,B434)/600*60,0)</f>
        <v/>
      </c>
      <c r="P434">
        <f>IF(N434&lt;=O434,1,0)</f>
        <v/>
      </c>
      <c r="Q434">
        <f>IF(OR(C434=4,C434=15,C434=27),1,0)</f>
        <v/>
      </c>
      <c r="R434">
        <f>IF(I434&lt;=60,1,0)</f>
        <v/>
      </c>
    </row>
    <row r="435">
      <c r="A435" t="n">
        <v>434</v>
      </c>
      <c r="B435" t="n">
        <v>3</v>
      </c>
      <c r="C435" t="n">
        <v>22</v>
      </c>
      <c r="D435" t="n">
        <v>2</v>
      </c>
      <c r="E435" t="n">
        <v>50</v>
      </c>
      <c r="F435" t="n">
        <v>0</v>
      </c>
      <c r="G435" t="n">
        <v>128</v>
      </c>
      <c r="H435" t="n">
        <v>0</v>
      </c>
      <c r="I435" t="n">
        <v>258</v>
      </c>
      <c r="J435" t="n">
        <v>0.834539</v>
      </c>
      <c r="K435">
        <f>RANK(J435,$J$2:$J$601,1)</f>
        <v/>
      </c>
      <c r="L435">
        <f>IF(K435&lt;=60,1,0)</f>
        <v/>
      </c>
      <c r="M435">
        <f>IF(MOD(A435-7,10)=0,1,0)</f>
        <v/>
      </c>
      <c r="N435">
        <f>COUNTIFS($B$2:$B$601,B435,$J$2:$J$601,"&lt;"&amp;J435)+1</f>
        <v/>
      </c>
      <c r="O435">
        <f>ROUND(COUNTIF($B$2:$B$601,B435)/600*60,0)</f>
        <v/>
      </c>
      <c r="P435">
        <f>IF(N435&lt;=O435,1,0)</f>
        <v/>
      </c>
      <c r="Q435">
        <f>IF(OR(C435=4,C435=15,C435=27),1,0)</f>
        <v/>
      </c>
      <c r="R435">
        <f>IF(I435&lt;=60,1,0)</f>
        <v/>
      </c>
    </row>
    <row r="436">
      <c r="A436" t="n">
        <v>435</v>
      </c>
      <c r="B436" t="n">
        <v>3</v>
      </c>
      <c r="C436" t="n">
        <v>22</v>
      </c>
      <c r="D436" t="n">
        <v>2</v>
      </c>
      <c r="E436" t="n">
        <v>47</v>
      </c>
      <c r="F436" t="n">
        <v>0</v>
      </c>
      <c r="G436" t="n">
        <v>97</v>
      </c>
      <c r="H436" t="n">
        <v>0</v>
      </c>
      <c r="I436" t="n">
        <v>162</v>
      </c>
      <c r="J436" t="n">
        <v>0.362519</v>
      </c>
      <c r="K436">
        <f>RANK(J436,$J$2:$J$601,1)</f>
        <v/>
      </c>
      <c r="L436">
        <f>IF(K436&lt;=60,1,0)</f>
        <v/>
      </c>
      <c r="M436">
        <f>IF(MOD(A436-7,10)=0,1,0)</f>
        <v/>
      </c>
      <c r="N436">
        <f>COUNTIFS($B$2:$B$601,B436,$J$2:$J$601,"&lt;"&amp;J436)+1</f>
        <v/>
      </c>
      <c r="O436">
        <f>ROUND(COUNTIF($B$2:$B$601,B436)/600*60,0)</f>
        <v/>
      </c>
      <c r="P436">
        <f>IF(N436&lt;=O436,1,0)</f>
        <v/>
      </c>
      <c r="Q436">
        <f>IF(OR(C436=4,C436=15,C436=27),1,0)</f>
        <v/>
      </c>
      <c r="R436">
        <f>IF(I436&lt;=60,1,0)</f>
        <v/>
      </c>
    </row>
    <row r="437">
      <c r="A437" t="n">
        <v>436</v>
      </c>
      <c r="B437" t="n">
        <v>3</v>
      </c>
      <c r="C437" t="n">
        <v>22</v>
      </c>
      <c r="D437" t="n">
        <v>1</v>
      </c>
      <c r="E437" t="n">
        <v>33</v>
      </c>
      <c r="F437" t="n">
        <v>0</v>
      </c>
      <c r="G437" t="n">
        <v>120</v>
      </c>
      <c r="H437" t="n">
        <v>0</v>
      </c>
      <c r="I437" t="n">
        <v>517</v>
      </c>
      <c r="J437" t="n">
        <v>0.183017</v>
      </c>
      <c r="K437">
        <f>RANK(J437,$J$2:$J$601,1)</f>
        <v/>
      </c>
      <c r="L437">
        <f>IF(K437&lt;=60,1,0)</f>
        <v/>
      </c>
      <c r="M437">
        <f>IF(MOD(A437-7,10)=0,1,0)</f>
        <v/>
      </c>
      <c r="N437">
        <f>COUNTIFS($B$2:$B$601,B437,$J$2:$J$601,"&lt;"&amp;J437)+1</f>
        <v/>
      </c>
      <c r="O437">
        <f>ROUND(COUNTIF($B$2:$B$601,B437)/600*60,0)</f>
        <v/>
      </c>
      <c r="P437">
        <f>IF(N437&lt;=O437,1,0)</f>
        <v/>
      </c>
      <c r="Q437">
        <f>IF(OR(C437=4,C437=15,C437=27),1,0)</f>
        <v/>
      </c>
      <c r="R437">
        <f>IF(I437&lt;=60,1,0)</f>
        <v/>
      </c>
    </row>
    <row r="438">
      <c r="A438" t="n">
        <v>437</v>
      </c>
      <c r="B438" t="n">
        <v>3</v>
      </c>
      <c r="C438" t="n">
        <v>22</v>
      </c>
      <c r="D438" t="n">
        <v>1</v>
      </c>
      <c r="E438" t="n">
        <v>57</v>
      </c>
      <c r="F438" t="n">
        <v>0</v>
      </c>
      <c r="G438" t="n">
        <v>147</v>
      </c>
      <c r="H438" t="n">
        <v>1</v>
      </c>
      <c r="I438" t="n">
        <v>86</v>
      </c>
      <c r="J438" t="n">
        <v>0.385768</v>
      </c>
      <c r="K438">
        <f>RANK(J438,$J$2:$J$601,1)</f>
        <v/>
      </c>
      <c r="L438">
        <f>IF(K438&lt;=60,1,0)</f>
        <v/>
      </c>
      <c r="M438">
        <f>IF(MOD(A438-7,10)=0,1,0)</f>
        <v/>
      </c>
      <c r="N438">
        <f>COUNTIFS($B$2:$B$601,B438,$J$2:$J$601,"&lt;"&amp;J438)+1</f>
        <v/>
      </c>
      <c r="O438">
        <f>ROUND(COUNTIF($B$2:$B$601,B438)/600*60,0)</f>
        <v/>
      </c>
      <c r="P438">
        <f>IF(N438&lt;=O438,1,0)</f>
        <v/>
      </c>
      <c r="Q438">
        <f>IF(OR(C438=4,C438=15,C438=27),1,0)</f>
        <v/>
      </c>
      <c r="R438">
        <f>IF(I438&lt;=60,1,0)</f>
        <v/>
      </c>
    </row>
    <row r="439">
      <c r="A439" t="n">
        <v>438</v>
      </c>
      <c r="B439" t="n">
        <v>3</v>
      </c>
      <c r="C439" t="n">
        <v>22</v>
      </c>
      <c r="D439" t="n">
        <v>2</v>
      </c>
      <c r="E439" t="n">
        <v>44</v>
      </c>
      <c r="F439" t="n">
        <v>0</v>
      </c>
      <c r="G439" t="n">
        <v>121</v>
      </c>
      <c r="H439" t="n">
        <v>0</v>
      </c>
      <c r="I439" t="n">
        <v>250</v>
      </c>
      <c r="J439" t="n">
        <v>0.446511</v>
      </c>
      <c r="K439">
        <f>RANK(J439,$J$2:$J$601,1)</f>
        <v/>
      </c>
      <c r="L439">
        <f>IF(K439&lt;=60,1,0)</f>
        <v/>
      </c>
      <c r="M439">
        <f>IF(MOD(A439-7,10)=0,1,0)</f>
        <v/>
      </c>
      <c r="N439">
        <f>COUNTIFS($B$2:$B$601,B439,$J$2:$J$601,"&lt;"&amp;J439)+1</f>
        <v/>
      </c>
      <c r="O439">
        <f>ROUND(COUNTIF($B$2:$B$601,B439)/600*60,0)</f>
        <v/>
      </c>
      <c r="P439">
        <f>IF(N439&lt;=O439,1,0)</f>
        <v/>
      </c>
      <c r="Q439">
        <f>IF(OR(C439=4,C439=15,C439=27),1,0)</f>
        <v/>
      </c>
      <c r="R439">
        <f>IF(I439&lt;=60,1,0)</f>
        <v/>
      </c>
    </row>
    <row r="440">
      <c r="A440" t="n">
        <v>439</v>
      </c>
      <c r="B440" t="n">
        <v>3</v>
      </c>
      <c r="C440" t="n">
        <v>22</v>
      </c>
      <c r="D440" t="n">
        <v>1</v>
      </c>
      <c r="E440" t="n">
        <v>78</v>
      </c>
      <c r="F440" t="n">
        <v>0</v>
      </c>
      <c r="G440" t="n">
        <v>152</v>
      </c>
      <c r="H440" t="n">
        <v>1</v>
      </c>
      <c r="I440" t="n">
        <v>47</v>
      </c>
      <c r="J440" t="n">
        <v>0.285798</v>
      </c>
      <c r="K440">
        <f>RANK(J440,$J$2:$J$601,1)</f>
        <v/>
      </c>
      <c r="L440">
        <f>IF(K440&lt;=60,1,0)</f>
        <v/>
      </c>
      <c r="M440">
        <f>IF(MOD(A440-7,10)=0,1,0)</f>
        <v/>
      </c>
      <c r="N440">
        <f>COUNTIFS($B$2:$B$601,B440,$J$2:$J$601,"&lt;"&amp;J440)+1</f>
        <v/>
      </c>
      <c r="O440">
        <f>ROUND(COUNTIF($B$2:$B$601,B440)/600*60,0)</f>
        <v/>
      </c>
      <c r="P440">
        <f>IF(N440&lt;=O440,1,0)</f>
        <v/>
      </c>
      <c r="Q440">
        <f>IF(OR(C440=4,C440=15,C440=27),1,0)</f>
        <v/>
      </c>
      <c r="R440">
        <f>IF(I440&lt;=60,1,0)</f>
        <v/>
      </c>
    </row>
    <row r="441">
      <c r="A441" t="n">
        <v>440</v>
      </c>
      <c r="B441" t="n">
        <v>3</v>
      </c>
      <c r="C441" t="n">
        <v>22</v>
      </c>
      <c r="D441" t="n">
        <v>2</v>
      </c>
      <c r="E441" t="n">
        <v>41</v>
      </c>
      <c r="F441" t="n">
        <v>0</v>
      </c>
      <c r="G441" t="n">
        <v>116</v>
      </c>
      <c r="H441" t="n">
        <v>0</v>
      </c>
      <c r="I441" t="n">
        <v>599</v>
      </c>
      <c r="J441" t="n">
        <v>0.02142</v>
      </c>
      <c r="K441">
        <f>RANK(J441,$J$2:$J$601,1)</f>
        <v/>
      </c>
      <c r="L441">
        <f>IF(K441&lt;=60,1,0)</f>
        <v/>
      </c>
      <c r="M441">
        <f>IF(MOD(A441-7,10)=0,1,0)</f>
        <v/>
      </c>
      <c r="N441">
        <f>COUNTIFS($B$2:$B$601,B441,$J$2:$J$601,"&lt;"&amp;J441)+1</f>
        <v/>
      </c>
      <c r="O441">
        <f>ROUND(COUNTIF($B$2:$B$601,B441)/600*60,0)</f>
        <v/>
      </c>
      <c r="P441">
        <f>IF(N441&lt;=O441,1,0)</f>
        <v/>
      </c>
      <c r="Q441">
        <f>IF(OR(C441=4,C441=15,C441=27),1,0)</f>
        <v/>
      </c>
      <c r="R441">
        <f>IF(I441&lt;=60,1,0)</f>
        <v/>
      </c>
    </row>
    <row r="442">
      <c r="A442" t="n">
        <v>441</v>
      </c>
      <c r="B442" t="n">
        <v>3</v>
      </c>
      <c r="C442" t="n">
        <v>23</v>
      </c>
      <c r="D442" t="n">
        <v>1</v>
      </c>
      <c r="E442" t="n">
        <v>66</v>
      </c>
      <c r="F442" t="n">
        <v>0</v>
      </c>
      <c r="G442" t="n">
        <v>132</v>
      </c>
      <c r="H442" t="n">
        <v>0</v>
      </c>
      <c r="I442" t="n">
        <v>278</v>
      </c>
      <c r="J442" t="n">
        <v>0.518335</v>
      </c>
      <c r="K442">
        <f>RANK(J442,$J$2:$J$601,1)</f>
        <v/>
      </c>
      <c r="L442">
        <f>IF(K442&lt;=60,1,0)</f>
        <v/>
      </c>
      <c r="M442">
        <f>IF(MOD(A442-7,10)=0,1,0)</f>
        <v/>
      </c>
      <c r="N442">
        <f>COUNTIFS($B$2:$B$601,B442,$J$2:$J$601,"&lt;"&amp;J442)+1</f>
        <v/>
      </c>
      <c r="O442">
        <f>ROUND(COUNTIF($B$2:$B$601,B442)/600*60,0)</f>
        <v/>
      </c>
      <c r="P442">
        <f>IF(N442&lt;=O442,1,0)</f>
        <v/>
      </c>
      <c r="Q442">
        <f>IF(OR(C442=4,C442=15,C442=27),1,0)</f>
        <v/>
      </c>
      <c r="R442">
        <f>IF(I442&lt;=60,1,0)</f>
        <v/>
      </c>
    </row>
    <row r="443">
      <c r="A443" t="n">
        <v>442</v>
      </c>
      <c r="B443" t="n">
        <v>3</v>
      </c>
      <c r="C443" t="n">
        <v>23</v>
      </c>
      <c r="D443" t="n">
        <v>1</v>
      </c>
      <c r="E443" t="n">
        <v>52</v>
      </c>
      <c r="F443" t="n">
        <v>1</v>
      </c>
      <c r="G443" t="n">
        <v>100</v>
      </c>
      <c r="H443" t="n">
        <v>0</v>
      </c>
      <c r="I443" t="n">
        <v>337</v>
      </c>
      <c r="J443" t="n">
        <v>0.878713</v>
      </c>
      <c r="K443">
        <f>RANK(J443,$J$2:$J$601,1)</f>
        <v/>
      </c>
      <c r="L443">
        <f>IF(K443&lt;=60,1,0)</f>
        <v/>
      </c>
      <c r="M443">
        <f>IF(MOD(A443-7,10)=0,1,0)</f>
        <v/>
      </c>
      <c r="N443">
        <f>COUNTIFS($B$2:$B$601,B443,$J$2:$J$601,"&lt;"&amp;J443)+1</f>
        <v/>
      </c>
      <c r="O443">
        <f>ROUND(COUNTIF($B$2:$B$601,B443)/600*60,0)</f>
        <v/>
      </c>
      <c r="P443">
        <f>IF(N443&lt;=O443,1,0)</f>
        <v/>
      </c>
      <c r="Q443">
        <f>IF(OR(C443=4,C443=15,C443=27),1,0)</f>
        <v/>
      </c>
      <c r="R443">
        <f>IF(I443&lt;=60,1,0)</f>
        <v/>
      </c>
    </row>
    <row r="444">
      <c r="A444" t="n">
        <v>443</v>
      </c>
      <c r="B444" t="n">
        <v>3</v>
      </c>
      <c r="C444" t="n">
        <v>23</v>
      </c>
      <c r="D444" t="n">
        <v>2</v>
      </c>
      <c r="E444" t="n">
        <v>38</v>
      </c>
      <c r="F444" t="n">
        <v>0</v>
      </c>
      <c r="G444" t="n">
        <v>104</v>
      </c>
      <c r="H444" t="n">
        <v>0</v>
      </c>
      <c r="I444" t="n">
        <v>313</v>
      </c>
      <c r="J444" t="n">
        <v>0.406561</v>
      </c>
      <c r="K444">
        <f>RANK(J444,$J$2:$J$601,1)</f>
        <v/>
      </c>
      <c r="L444">
        <f>IF(K444&lt;=60,1,0)</f>
        <v/>
      </c>
      <c r="M444">
        <f>IF(MOD(A444-7,10)=0,1,0)</f>
        <v/>
      </c>
      <c r="N444">
        <f>COUNTIFS($B$2:$B$601,B444,$J$2:$J$601,"&lt;"&amp;J444)+1</f>
        <v/>
      </c>
      <c r="O444">
        <f>ROUND(COUNTIF($B$2:$B$601,B444)/600*60,0)</f>
        <v/>
      </c>
      <c r="P444">
        <f>IF(N444&lt;=O444,1,0)</f>
        <v/>
      </c>
      <c r="Q444">
        <f>IF(OR(C444=4,C444=15,C444=27),1,0)</f>
        <v/>
      </c>
      <c r="R444">
        <f>IF(I444&lt;=60,1,0)</f>
        <v/>
      </c>
    </row>
    <row r="445">
      <c r="A445" t="n">
        <v>444</v>
      </c>
      <c r="B445" t="n">
        <v>3</v>
      </c>
      <c r="C445" t="n">
        <v>23</v>
      </c>
      <c r="D445" t="n">
        <v>1</v>
      </c>
      <c r="E445" t="n">
        <v>31</v>
      </c>
      <c r="F445" t="n">
        <v>0</v>
      </c>
      <c r="G445" t="n">
        <v>99</v>
      </c>
      <c r="H445" t="n">
        <v>0</v>
      </c>
      <c r="I445" t="n">
        <v>381</v>
      </c>
      <c r="J445" t="n">
        <v>0.573964</v>
      </c>
      <c r="K445">
        <f>RANK(J445,$J$2:$J$601,1)</f>
        <v/>
      </c>
      <c r="L445">
        <f>IF(K445&lt;=60,1,0)</f>
        <v/>
      </c>
      <c r="M445">
        <f>IF(MOD(A445-7,10)=0,1,0)</f>
        <v/>
      </c>
      <c r="N445">
        <f>COUNTIFS($B$2:$B$601,B445,$J$2:$J$601,"&lt;"&amp;J445)+1</f>
        <v/>
      </c>
      <c r="O445">
        <f>ROUND(COUNTIF($B$2:$B$601,B445)/600*60,0)</f>
        <v/>
      </c>
      <c r="P445">
        <f>IF(N445&lt;=O445,1,0)</f>
        <v/>
      </c>
      <c r="Q445">
        <f>IF(OR(C445=4,C445=15,C445=27),1,0)</f>
        <v/>
      </c>
      <c r="R445">
        <f>IF(I445&lt;=60,1,0)</f>
        <v/>
      </c>
    </row>
    <row r="446">
      <c r="A446" t="n">
        <v>445</v>
      </c>
      <c r="B446" t="n">
        <v>3</v>
      </c>
      <c r="C446" t="n">
        <v>23</v>
      </c>
      <c r="D446" t="n">
        <v>2</v>
      </c>
      <c r="E446" t="n">
        <v>72</v>
      </c>
      <c r="F446" t="n">
        <v>1</v>
      </c>
      <c r="G446" t="n">
        <v>143</v>
      </c>
      <c r="H446" t="n">
        <v>1</v>
      </c>
      <c r="I446" t="n">
        <v>1</v>
      </c>
      <c r="J446" t="n">
        <v>0.11398</v>
      </c>
      <c r="K446">
        <f>RANK(J446,$J$2:$J$601,1)</f>
        <v/>
      </c>
      <c r="L446">
        <f>IF(K446&lt;=60,1,0)</f>
        <v/>
      </c>
      <c r="M446">
        <f>IF(MOD(A446-7,10)=0,1,0)</f>
        <v/>
      </c>
      <c r="N446">
        <f>COUNTIFS($B$2:$B$601,B446,$J$2:$J$601,"&lt;"&amp;J446)+1</f>
        <v/>
      </c>
      <c r="O446">
        <f>ROUND(COUNTIF($B$2:$B$601,B446)/600*60,0)</f>
        <v/>
      </c>
      <c r="P446">
        <f>IF(N446&lt;=O446,1,0)</f>
        <v/>
      </c>
      <c r="Q446">
        <f>IF(OR(C446=4,C446=15,C446=27),1,0)</f>
        <v/>
      </c>
      <c r="R446">
        <f>IF(I446&lt;=60,1,0)</f>
        <v/>
      </c>
    </row>
    <row r="447">
      <c r="A447" t="n">
        <v>446</v>
      </c>
      <c r="B447" t="n">
        <v>3</v>
      </c>
      <c r="C447" t="n">
        <v>23</v>
      </c>
      <c r="D447" t="n">
        <v>1</v>
      </c>
      <c r="E447" t="n">
        <v>54</v>
      </c>
      <c r="F447" t="n">
        <v>0</v>
      </c>
      <c r="G447" t="n">
        <v>104</v>
      </c>
      <c r="H447" t="n">
        <v>0</v>
      </c>
      <c r="I447" t="n">
        <v>515</v>
      </c>
      <c r="J447" t="n">
        <v>0.142916</v>
      </c>
      <c r="K447">
        <f>RANK(J447,$J$2:$J$601,1)</f>
        <v/>
      </c>
      <c r="L447">
        <f>IF(K447&lt;=60,1,0)</f>
        <v/>
      </c>
      <c r="M447">
        <f>IF(MOD(A447-7,10)=0,1,0)</f>
        <v/>
      </c>
      <c r="N447">
        <f>COUNTIFS($B$2:$B$601,B447,$J$2:$J$601,"&lt;"&amp;J447)+1</f>
        <v/>
      </c>
      <c r="O447">
        <f>ROUND(COUNTIF($B$2:$B$601,B447)/600*60,0)</f>
        <v/>
      </c>
      <c r="P447">
        <f>IF(N447&lt;=O447,1,0)</f>
        <v/>
      </c>
      <c r="Q447">
        <f>IF(OR(C447=4,C447=15,C447=27),1,0)</f>
        <v/>
      </c>
      <c r="R447">
        <f>IF(I447&lt;=60,1,0)</f>
        <v/>
      </c>
    </row>
    <row r="448">
      <c r="A448" t="n">
        <v>447</v>
      </c>
      <c r="B448" t="n">
        <v>3</v>
      </c>
      <c r="C448" t="n">
        <v>23</v>
      </c>
      <c r="D448" t="n">
        <v>2</v>
      </c>
      <c r="E448" t="n">
        <v>36</v>
      </c>
      <c r="F448" t="n">
        <v>0</v>
      </c>
      <c r="G448" t="n">
        <v>131</v>
      </c>
      <c r="H448" t="n">
        <v>0</v>
      </c>
      <c r="I448" t="n">
        <v>584</v>
      </c>
      <c r="J448" t="n">
        <v>0.297958</v>
      </c>
      <c r="K448">
        <f>RANK(J448,$J$2:$J$601,1)</f>
        <v/>
      </c>
      <c r="L448">
        <f>IF(K448&lt;=60,1,0)</f>
        <v/>
      </c>
      <c r="M448">
        <f>IF(MOD(A448-7,10)=0,1,0)</f>
        <v/>
      </c>
      <c r="N448">
        <f>COUNTIFS($B$2:$B$601,B448,$J$2:$J$601,"&lt;"&amp;J448)+1</f>
        <v/>
      </c>
      <c r="O448">
        <f>ROUND(COUNTIF($B$2:$B$601,B448)/600*60,0)</f>
        <v/>
      </c>
      <c r="P448">
        <f>IF(N448&lt;=O448,1,0)</f>
        <v/>
      </c>
      <c r="Q448">
        <f>IF(OR(C448=4,C448=15,C448=27),1,0)</f>
        <v/>
      </c>
      <c r="R448">
        <f>IF(I448&lt;=60,1,0)</f>
        <v/>
      </c>
    </row>
    <row r="449">
      <c r="A449" t="n">
        <v>448</v>
      </c>
      <c r="B449" t="n">
        <v>3</v>
      </c>
      <c r="C449" t="n">
        <v>23</v>
      </c>
      <c r="D449" t="n">
        <v>1</v>
      </c>
      <c r="E449" t="n">
        <v>44</v>
      </c>
      <c r="F449" t="n">
        <v>0</v>
      </c>
      <c r="G449" t="n">
        <v>131</v>
      </c>
      <c r="H449" t="n">
        <v>0</v>
      </c>
      <c r="I449" t="n">
        <v>574</v>
      </c>
      <c r="J449" t="n">
        <v>0.515602</v>
      </c>
      <c r="K449">
        <f>RANK(J449,$J$2:$J$601,1)</f>
        <v/>
      </c>
      <c r="L449">
        <f>IF(K449&lt;=60,1,0)</f>
        <v/>
      </c>
      <c r="M449">
        <f>IF(MOD(A449-7,10)=0,1,0)</f>
        <v/>
      </c>
      <c r="N449">
        <f>COUNTIFS($B$2:$B$601,B449,$J$2:$J$601,"&lt;"&amp;J449)+1</f>
        <v/>
      </c>
      <c r="O449">
        <f>ROUND(COUNTIF($B$2:$B$601,B449)/600*60,0)</f>
        <v/>
      </c>
      <c r="P449">
        <f>IF(N449&lt;=O449,1,0)</f>
        <v/>
      </c>
      <c r="Q449">
        <f>IF(OR(C449=4,C449=15,C449=27),1,0)</f>
        <v/>
      </c>
      <c r="R449">
        <f>IF(I449&lt;=60,1,0)</f>
        <v/>
      </c>
    </row>
    <row r="450">
      <c r="A450" t="n">
        <v>449</v>
      </c>
      <c r="B450" t="n">
        <v>3</v>
      </c>
      <c r="C450" t="n">
        <v>23</v>
      </c>
      <c r="D450" t="n">
        <v>1</v>
      </c>
      <c r="E450" t="n">
        <v>61</v>
      </c>
      <c r="F450" t="n">
        <v>0</v>
      </c>
      <c r="G450" t="n">
        <v>132</v>
      </c>
      <c r="H450" t="n">
        <v>0</v>
      </c>
      <c r="I450" t="n">
        <v>417</v>
      </c>
      <c r="J450" t="n">
        <v>0.0866</v>
      </c>
      <c r="K450">
        <f>RANK(J450,$J$2:$J$601,1)</f>
        <v/>
      </c>
      <c r="L450">
        <f>IF(K450&lt;=60,1,0)</f>
        <v/>
      </c>
      <c r="M450">
        <f>IF(MOD(A450-7,10)=0,1,0)</f>
        <v/>
      </c>
      <c r="N450">
        <f>COUNTIFS($B$2:$B$601,B450,$J$2:$J$601,"&lt;"&amp;J450)+1</f>
        <v/>
      </c>
      <c r="O450">
        <f>ROUND(COUNTIF($B$2:$B$601,B450)/600*60,0)</f>
        <v/>
      </c>
      <c r="P450">
        <f>IF(N450&lt;=O450,1,0)</f>
        <v/>
      </c>
      <c r="Q450">
        <f>IF(OR(C450=4,C450=15,C450=27),1,0)</f>
        <v/>
      </c>
      <c r="R450">
        <f>IF(I450&lt;=60,1,0)</f>
        <v/>
      </c>
    </row>
    <row r="451">
      <c r="A451" t="n">
        <v>450</v>
      </c>
      <c r="B451" t="n">
        <v>3</v>
      </c>
      <c r="C451" t="n">
        <v>23</v>
      </c>
      <c r="D451" t="n">
        <v>1</v>
      </c>
      <c r="E451" t="n">
        <v>53</v>
      </c>
      <c r="F451" t="n">
        <v>0</v>
      </c>
      <c r="G451" t="n">
        <v>99</v>
      </c>
      <c r="H451" t="n">
        <v>0</v>
      </c>
      <c r="I451" t="n">
        <v>589</v>
      </c>
      <c r="J451" t="n">
        <v>0.505464</v>
      </c>
      <c r="K451">
        <f>RANK(J451,$J$2:$J$601,1)</f>
        <v/>
      </c>
      <c r="L451">
        <f>IF(K451&lt;=60,1,0)</f>
        <v/>
      </c>
      <c r="M451">
        <f>IF(MOD(A451-7,10)=0,1,0)</f>
        <v/>
      </c>
      <c r="N451">
        <f>COUNTIFS($B$2:$B$601,B451,$J$2:$J$601,"&lt;"&amp;J451)+1</f>
        <v/>
      </c>
      <c r="O451">
        <f>ROUND(COUNTIF($B$2:$B$601,B451)/600*60,0)</f>
        <v/>
      </c>
      <c r="P451">
        <f>IF(N451&lt;=O451,1,0)</f>
        <v/>
      </c>
      <c r="Q451">
        <f>IF(OR(C451=4,C451=15,C451=27),1,0)</f>
        <v/>
      </c>
      <c r="R451">
        <f>IF(I451&lt;=60,1,0)</f>
        <v/>
      </c>
    </row>
    <row r="452">
      <c r="A452" t="n">
        <v>451</v>
      </c>
      <c r="B452" t="n">
        <v>3</v>
      </c>
      <c r="C452" t="n">
        <v>23</v>
      </c>
      <c r="D452" t="n">
        <v>1</v>
      </c>
      <c r="E452" t="n">
        <v>47</v>
      </c>
      <c r="F452" t="n">
        <v>0</v>
      </c>
      <c r="G452" t="n">
        <v>106</v>
      </c>
      <c r="H452" t="n">
        <v>0</v>
      </c>
      <c r="I452" t="n">
        <v>399</v>
      </c>
      <c r="J452" t="n">
        <v>0.198449</v>
      </c>
      <c r="K452">
        <f>RANK(J452,$J$2:$J$601,1)</f>
        <v/>
      </c>
      <c r="L452">
        <f>IF(K452&lt;=60,1,0)</f>
        <v/>
      </c>
      <c r="M452">
        <f>IF(MOD(A452-7,10)=0,1,0)</f>
        <v/>
      </c>
      <c r="N452">
        <f>COUNTIFS($B$2:$B$601,B452,$J$2:$J$601,"&lt;"&amp;J452)+1</f>
        <v/>
      </c>
      <c r="O452">
        <f>ROUND(COUNTIF($B$2:$B$601,B452)/600*60,0)</f>
        <v/>
      </c>
      <c r="P452">
        <f>IF(N452&lt;=O452,1,0)</f>
        <v/>
      </c>
      <c r="Q452">
        <f>IF(OR(C452=4,C452=15,C452=27),1,0)</f>
        <v/>
      </c>
      <c r="R452">
        <f>IF(I452&lt;=60,1,0)</f>
        <v/>
      </c>
    </row>
    <row r="453">
      <c r="A453" t="n">
        <v>452</v>
      </c>
      <c r="B453" t="n">
        <v>3</v>
      </c>
      <c r="C453" t="n">
        <v>23</v>
      </c>
      <c r="D453" t="n">
        <v>2</v>
      </c>
      <c r="E453" t="n">
        <v>34</v>
      </c>
      <c r="F453" t="n">
        <v>0</v>
      </c>
      <c r="G453" t="n">
        <v>126</v>
      </c>
      <c r="H453" t="n">
        <v>0</v>
      </c>
      <c r="I453" t="n">
        <v>345</v>
      </c>
      <c r="J453" t="n">
        <v>0.835094</v>
      </c>
      <c r="K453">
        <f>RANK(J453,$J$2:$J$601,1)</f>
        <v/>
      </c>
      <c r="L453">
        <f>IF(K453&lt;=60,1,0)</f>
        <v/>
      </c>
      <c r="M453">
        <f>IF(MOD(A453-7,10)=0,1,0)</f>
        <v/>
      </c>
      <c r="N453">
        <f>COUNTIFS($B$2:$B$601,B453,$J$2:$J$601,"&lt;"&amp;J453)+1</f>
        <v/>
      </c>
      <c r="O453">
        <f>ROUND(COUNTIF($B$2:$B$601,B453)/600*60,0)</f>
        <v/>
      </c>
      <c r="P453">
        <f>IF(N453&lt;=O453,1,0)</f>
        <v/>
      </c>
      <c r="Q453">
        <f>IF(OR(C453=4,C453=15,C453=27),1,0)</f>
        <v/>
      </c>
      <c r="R453">
        <f>IF(I453&lt;=60,1,0)</f>
        <v/>
      </c>
    </row>
    <row r="454">
      <c r="A454" t="n">
        <v>453</v>
      </c>
      <c r="B454" t="n">
        <v>3</v>
      </c>
      <c r="C454" t="n">
        <v>23</v>
      </c>
      <c r="D454" t="n">
        <v>2</v>
      </c>
      <c r="E454" t="n">
        <v>78</v>
      </c>
      <c r="F454" t="n">
        <v>0</v>
      </c>
      <c r="G454" t="n">
        <v>146</v>
      </c>
      <c r="H454" t="n">
        <v>1</v>
      </c>
      <c r="I454" t="n">
        <v>70</v>
      </c>
      <c r="J454" t="n">
        <v>0.610877</v>
      </c>
      <c r="K454">
        <f>RANK(J454,$J$2:$J$601,1)</f>
        <v/>
      </c>
      <c r="L454">
        <f>IF(K454&lt;=60,1,0)</f>
        <v/>
      </c>
      <c r="M454">
        <f>IF(MOD(A454-7,10)=0,1,0)</f>
        <v/>
      </c>
      <c r="N454">
        <f>COUNTIFS($B$2:$B$601,B454,$J$2:$J$601,"&lt;"&amp;J454)+1</f>
        <v/>
      </c>
      <c r="O454">
        <f>ROUND(COUNTIF($B$2:$B$601,B454)/600*60,0)</f>
        <v/>
      </c>
      <c r="P454">
        <f>IF(N454&lt;=O454,1,0)</f>
        <v/>
      </c>
      <c r="Q454">
        <f>IF(OR(C454=4,C454=15,C454=27),1,0)</f>
        <v/>
      </c>
      <c r="R454">
        <f>IF(I454&lt;=60,1,0)</f>
        <v/>
      </c>
    </row>
    <row r="455">
      <c r="A455" t="n">
        <v>454</v>
      </c>
      <c r="B455" t="n">
        <v>3</v>
      </c>
      <c r="C455" t="n">
        <v>23</v>
      </c>
      <c r="D455" t="n">
        <v>1</v>
      </c>
      <c r="E455" t="n">
        <v>61</v>
      </c>
      <c r="F455" t="n">
        <v>0</v>
      </c>
      <c r="G455" t="n">
        <v>119</v>
      </c>
      <c r="H455" t="n">
        <v>0</v>
      </c>
      <c r="I455" t="n">
        <v>529</v>
      </c>
      <c r="J455" t="n">
        <v>0.598048</v>
      </c>
      <c r="K455">
        <f>RANK(J455,$J$2:$J$601,1)</f>
        <v/>
      </c>
      <c r="L455">
        <f>IF(K455&lt;=60,1,0)</f>
        <v/>
      </c>
      <c r="M455">
        <f>IF(MOD(A455-7,10)=0,1,0)</f>
        <v/>
      </c>
      <c r="N455">
        <f>COUNTIFS($B$2:$B$601,B455,$J$2:$J$601,"&lt;"&amp;J455)+1</f>
        <v/>
      </c>
      <c r="O455">
        <f>ROUND(COUNTIF($B$2:$B$601,B455)/600*60,0)</f>
        <v/>
      </c>
      <c r="P455">
        <f>IF(N455&lt;=O455,1,0)</f>
        <v/>
      </c>
      <c r="Q455">
        <f>IF(OR(C455=4,C455=15,C455=27),1,0)</f>
        <v/>
      </c>
      <c r="R455">
        <f>IF(I455&lt;=60,1,0)</f>
        <v/>
      </c>
    </row>
    <row r="456">
      <c r="A456" t="n">
        <v>455</v>
      </c>
      <c r="B456" t="n">
        <v>3</v>
      </c>
      <c r="C456" t="n">
        <v>23</v>
      </c>
      <c r="D456" t="n">
        <v>2</v>
      </c>
      <c r="E456" t="n">
        <v>68</v>
      </c>
      <c r="F456" t="n">
        <v>1</v>
      </c>
      <c r="G456" t="n">
        <v>147</v>
      </c>
      <c r="H456" t="n">
        <v>1</v>
      </c>
      <c r="I456" t="n">
        <v>105</v>
      </c>
      <c r="J456" t="n">
        <v>0.054944</v>
      </c>
      <c r="K456">
        <f>RANK(J456,$J$2:$J$601,1)</f>
        <v/>
      </c>
      <c r="L456">
        <f>IF(K456&lt;=60,1,0)</f>
        <v/>
      </c>
      <c r="M456">
        <f>IF(MOD(A456-7,10)=0,1,0)</f>
        <v/>
      </c>
      <c r="N456">
        <f>COUNTIFS($B$2:$B$601,B456,$J$2:$J$601,"&lt;"&amp;J456)+1</f>
        <v/>
      </c>
      <c r="O456">
        <f>ROUND(COUNTIF($B$2:$B$601,B456)/600*60,0)</f>
        <v/>
      </c>
      <c r="P456">
        <f>IF(N456&lt;=O456,1,0)</f>
        <v/>
      </c>
      <c r="Q456">
        <f>IF(OR(C456=4,C456=15,C456=27),1,0)</f>
        <v/>
      </c>
      <c r="R456">
        <f>IF(I456&lt;=60,1,0)</f>
        <v/>
      </c>
    </row>
    <row r="457">
      <c r="A457" t="n">
        <v>456</v>
      </c>
      <c r="B457" t="n">
        <v>3</v>
      </c>
      <c r="C457" t="n">
        <v>23</v>
      </c>
      <c r="D457" t="n">
        <v>1</v>
      </c>
      <c r="E457" t="n">
        <v>34</v>
      </c>
      <c r="F457" t="n">
        <v>0</v>
      </c>
      <c r="G457" t="n">
        <v>110</v>
      </c>
      <c r="H457" t="n">
        <v>0</v>
      </c>
      <c r="I457" t="n">
        <v>307</v>
      </c>
      <c r="J457" t="n">
        <v>0.437944</v>
      </c>
      <c r="K457">
        <f>RANK(J457,$J$2:$J$601,1)</f>
        <v/>
      </c>
      <c r="L457">
        <f>IF(K457&lt;=60,1,0)</f>
        <v/>
      </c>
      <c r="M457">
        <f>IF(MOD(A457-7,10)=0,1,0)</f>
        <v/>
      </c>
      <c r="N457">
        <f>COUNTIFS($B$2:$B$601,B457,$J$2:$J$601,"&lt;"&amp;J457)+1</f>
        <v/>
      </c>
      <c r="O457">
        <f>ROUND(COUNTIF($B$2:$B$601,B457)/600*60,0)</f>
        <v/>
      </c>
      <c r="P457">
        <f>IF(N457&lt;=O457,1,0)</f>
        <v/>
      </c>
      <c r="Q457">
        <f>IF(OR(C457=4,C457=15,C457=27),1,0)</f>
        <v/>
      </c>
      <c r="R457">
        <f>IF(I457&lt;=60,1,0)</f>
        <v/>
      </c>
    </row>
    <row r="458">
      <c r="A458" t="n">
        <v>457</v>
      </c>
      <c r="B458" t="n">
        <v>3</v>
      </c>
      <c r="C458" t="n">
        <v>23</v>
      </c>
      <c r="D458" t="n">
        <v>2</v>
      </c>
      <c r="E458" t="n">
        <v>55</v>
      </c>
      <c r="F458" t="n">
        <v>0</v>
      </c>
      <c r="G458" t="n">
        <v>128</v>
      </c>
      <c r="H458" t="n">
        <v>0</v>
      </c>
      <c r="I458" t="n">
        <v>359</v>
      </c>
      <c r="J458" t="n">
        <v>0.171655</v>
      </c>
      <c r="K458">
        <f>RANK(J458,$J$2:$J$601,1)</f>
        <v/>
      </c>
      <c r="L458">
        <f>IF(K458&lt;=60,1,0)</f>
        <v/>
      </c>
      <c r="M458">
        <f>IF(MOD(A458-7,10)=0,1,0)</f>
        <v/>
      </c>
      <c r="N458">
        <f>COUNTIFS($B$2:$B$601,B458,$J$2:$J$601,"&lt;"&amp;J458)+1</f>
        <v/>
      </c>
      <c r="O458">
        <f>ROUND(COUNTIF($B$2:$B$601,B458)/600*60,0)</f>
        <v/>
      </c>
      <c r="P458">
        <f>IF(N458&lt;=O458,1,0)</f>
        <v/>
      </c>
      <c r="Q458">
        <f>IF(OR(C458=4,C458=15,C458=27),1,0)</f>
        <v/>
      </c>
      <c r="R458">
        <f>IF(I458&lt;=60,1,0)</f>
        <v/>
      </c>
    </row>
    <row r="459">
      <c r="A459" t="n">
        <v>458</v>
      </c>
      <c r="B459" t="n">
        <v>3</v>
      </c>
      <c r="C459" t="n">
        <v>23</v>
      </c>
      <c r="D459" t="n">
        <v>2</v>
      </c>
      <c r="E459" t="n">
        <v>52</v>
      </c>
      <c r="F459" t="n">
        <v>0</v>
      </c>
      <c r="G459" t="n">
        <v>106</v>
      </c>
      <c r="H459" t="n">
        <v>0</v>
      </c>
      <c r="I459" t="n">
        <v>334</v>
      </c>
      <c r="J459" t="n">
        <v>0.875508</v>
      </c>
      <c r="K459">
        <f>RANK(J459,$J$2:$J$601,1)</f>
        <v/>
      </c>
      <c r="L459">
        <f>IF(K459&lt;=60,1,0)</f>
        <v/>
      </c>
      <c r="M459">
        <f>IF(MOD(A459-7,10)=0,1,0)</f>
        <v/>
      </c>
      <c r="N459">
        <f>COUNTIFS($B$2:$B$601,B459,$J$2:$J$601,"&lt;"&amp;J459)+1</f>
        <v/>
      </c>
      <c r="O459">
        <f>ROUND(COUNTIF($B$2:$B$601,B459)/600*60,0)</f>
        <v/>
      </c>
      <c r="P459">
        <f>IF(N459&lt;=O459,1,0)</f>
        <v/>
      </c>
      <c r="Q459">
        <f>IF(OR(C459=4,C459=15,C459=27),1,0)</f>
        <v/>
      </c>
      <c r="R459">
        <f>IF(I459&lt;=60,1,0)</f>
        <v/>
      </c>
    </row>
    <row r="460">
      <c r="A460" t="n">
        <v>459</v>
      </c>
      <c r="B460" t="n">
        <v>3</v>
      </c>
      <c r="C460" t="n">
        <v>23</v>
      </c>
      <c r="D460" t="n">
        <v>1</v>
      </c>
      <c r="E460" t="n">
        <v>65</v>
      </c>
      <c r="F460" t="n">
        <v>0</v>
      </c>
      <c r="G460" t="n">
        <v>140</v>
      </c>
      <c r="H460" t="n">
        <v>1</v>
      </c>
      <c r="I460" t="n">
        <v>43</v>
      </c>
      <c r="J460" t="n">
        <v>0.075256</v>
      </c>
      <c r="K460">
        <f>RANK(J460,$J$2:$J$601,1)</f>
        <v/>
      </c>
      <c r="L460">
        <f>IF(K460&lt;=60,1,0)</f>
        <v/>
      </c>
      <c r="M460">
        <f>IF(MOD(A460-7,10)=0,1,0)</f>
        <v/>
      </c>
      <c r="N460">
        <f>COUNTIFS($B$2:$B$601,B460,$J$2:$J$601,"&lt;"&amp;J460)+1</f>
        <v/>
      </c>
      <c r="O460">
        <f>ROUND(COUNTIF($B$2:$B$601,B460)/600*60,0)</f>
        <v/>
      </c>
      <c r="P460">
        <f>IF(N460&lt;=O460,1,0)</f>
        <v/>
      </c>
      <c r="Q460">
        <f>IF(OR(C460=4,C460=15,C460=27),1,0)</f>
        <v/>
      </c>
      <c r="R460">
        <f>IF(I460&lt;=60,1,0)</f>
        <v/>
      </c>
    </row>
    <row r="461">
      <c r="A461" t="n">
        <v>460</v>
      </c>
      <c r="B461" t="n">
        <v>3</v>
      </c>
      <c r="C461" t="n">
        <v>23</v>
      </c>
      <c r="D461" t="n">
        <v>1</v>
      </c>
      <c r="E461" t="n">
        <v>33</v>
      </c>
      <c r="F461" t="n">
        <v>0</v>
      </c>
      <c r="G461" t="n">
        <v>112</v>
      </c>
      <c r="H461" t="n">
        <v>0</v>
      </c>
      <c r="I461" t="n">
        <v>570</v>
      </c>
      <c r="J461" t="n">
        <v>0.153777</v>
      </c>
      <c r="K461">
        <f>RANK(J461,$J$2:$J$601,1)</f>
        <v/>
      </c>
      <c r="L461">
        <f>IF(K461&lt;=60,1,0)</f>
        <v/>
      </c>
      <c r="M461">
        <f>IF(MOD(A461-7,10)=0,1,0)</f>
        <v/>
      </c>
      <c r="N461">
        <f>COUNTIFS($B$2:$B$601,B461,$J$2:$J$601,"&lt;"&amp;J461)+1</f>
        <v/>
      </c>
      <c r="O461">
        <f>ROUND(COUNTIF($B$2:$B$601,B461)/600*60,0)</f>
        <v/>
      </c>
      <c r="P461">
        <f>IF(N461&lt;=O461,1,0)</f>
        <v/>
      </c>
      <c r="Q461">
        <f>IF(OR(C461=4,C461=15,C461=27),1,0)</f>
        <v/>
      </c>
      <c r="R461">
        <f>IF(I461&lt;=60,1,0)</f>
        <v/>
      </c>
    </row>
    <row r="462">
      <c r="A462" t="n">
        <v>461</v>
      </c>
      <c r="B462" t="n">
        <v>3</v>
      </c>
      <c r="C462" t="n">
        <v>24</v>
      </c>
      <c r="D462" t="n">
        <v>1</v>
      </c>
      <c r="E462" t="n">
        <v>34</v>
      </c>
      <c r="F462" t="n">
        <v>0</v>
      </c>
      <c r="G462" t="n">
        <v>112</v>
      </c>
      <c r="H462" t="n">
        <v>0</v>
      </c>
      <c r="I462" t="n">
        <v>552</v>
      </c>
      <c r="J462" t="n">
        <v>0.622048</v>
      </c>
      <c r="K462">
        <f>RANK(J462,$J$2:$J$601,1)</f>
        <v/>
      </c>
      <c r="L462">
        <f>IF(K462&lt;=60,1,0)</f>
        <v/>
      </c>
      <c r="M462">
        <f>IF(MOD(A462-7,10)=0,1,0)</f>
        <v/>
      </c>
      <c r="N462">
        <f>COUNTIFS($B$2:$B$601,B462,$J$2:$J$601,"&lt;"&amp;J462)+1</f>
        <v/>
      </c>
      <c r="O462">
        <f>ROUND(COUNTIF($B$2:$B$601,B462)/600*60,0)</f>
        <v/>
      </c>
      <c r="P462">
        <f>IF(N462&lt;=O462,1,0)</f>
        <v/>
      </c>
      <c r="Q462">
        <f>IF(OR(C462=4,C462=15,C462=27),1,0)</f>
        <v/>
      </c>
      <c r="R462">
        <f>IF(I462&lt;=60,1,0)</f>
        <v/>
      </c>
    </row>
    <row r="463">
      <c r="A463" t="n">
        <v>462</v>
      </c>
      <c r="B463" t="n">
        <v>3</v>
      </c>
      <c r="C463" t="n">
        <v>24</v>
      </c>
      <c r="D463" t="n">
        <v>2</v>
      </c>
      <c r="E463" t="n">
        <v>69</v>
      </c>
      <c r="F463" t="n">
        <v>0</v>
      </c>
      <c r="G463" t="n">
        <v>136</v>
      </c>
      <c r="H463" t="n">
        <v>0</v>
      </c>
      <c r="I463" t="n">
        <v>231</v>
      </c>
      <c r="J463" t="n">
        <v>0.9911180000000001</v>
      </c>
      <c r="K463">
        <f>RANK(J463,$J$2:$J$601,1)</f>
        <v/>
      </c>
      <c r="L463">
        <f>IF(K463&lt;=60,1,0)</f>
        <v/>
      </c>
      <c r="M463">
        <f>IF(MOD(A463-7,10)=0,1,0)</f>
        <v/>
      </c>
      <c r="N463">
        <f>COUNTIFS($B$2:$B$601,B463,$J$2:$J$601,"&lt;"&amp;J463)+1</f>
        <v/>
      </c>
      <c r="O463">
        <f>ROUND(COUNTIF($B$2:$B$601,B463)/600*60,0)</f>
        <v/>
      </c>
      <c r="P463">
        <f>IF(N463&lt;=O463,1,0)</f>
        <v/>
      </c>
      <c r="Q463">
        <f>IF(OR(C463=4,C463=15,C463=27),1,0)</f>
        <v/>
      </c>
      <c r="R463">
        <f>IF(I463&lt;=60,1,0)</f>
        <v/>
      </c>
    </row>
    <row r="464">
      <c r="A464" t="n">
        <v>463</v>
      </c>
      <c r="B464" t="n">
        <v>3</v>
      </c>
      <c r="C464" t="n">
        <v>24</v>
      </c>
      <c r="D464" t="n">
        <v>1</v>
      </c>
      <c r="E464" t="n">
        <v>77</v>
      </c>
      <c r="F464" t="n">
        <v>0</v>
      </c>
      <c r="G464" t="n">
        <v>128</v>
      </c>
      <c r="H464" t="n">
        <v>0</v>
      </c>
      <c r="I464" t="n">
        <v>293</v>
      </c>
      <c r="J464" t="n">
        <v>0.422046</v>
      </c>
      <c r="K464">
        <f>RANK(J464,$J$2:$J$601,1)</f>
        <v/>
      </c>
      <c r="L464">
        <f>IF(K464&lt;=60,1,0)</f>
        <v/>
      </c>
      <c r="M464">
        <f>IF(MOD(A464-7,10)=0,1,0)</f>
        <v/>
      </c>
      <c r="N464">
        <f>COUNTIFS($B$2:$B$601,B464,$J$2:$J$601,"&lt;"&amp;J464)+1</f>
        <v/>
      </c>
      <c r="O464">
        <f>ROUND(COUNTIF($B$2:$B$601,B464)/600*60,0)</f>
        <v/>
      </c>
      <c r="P464">
        <f>IF(N464&lt;=O464,1,0)</f>
        <v/>
      </c>
      <c r="Q464">
        <f>IF(OR(C464=4,C464=15,C464=27),1,0)</f>
        <v/>
      </c>
      <c r="R464">
        <f>IF(I464&lt;=60,1,0)</f>
        <v/>
      </c>
    </row>
    <row r="465">
      <c r="A465" t="n">
        <v>464</v>
      </c>
      <c r="B465" t="n">
        <v>3</v>
      </c>
      <c r="C465" t="n">
        <v>24</v>
      </c>
      <c r="D465" t="n">
        <v>2</v>
      </c>
      <c r="E465" t="n">
        <v>60</v>
      </c>
      <c r="F465" t="n">
        <v>1</v>
      </c>
      <c r="G465" t="n">
        <v>123</v>
      </c>
      <c r="H465" t="n">
        <v>0</v>
      </c>
      <c r="I465" t="n">
        <v>274</v>
      </c>
      <c r="J465" t="n">
        <v>0.451719</v>
      </c>
      <c r="K465">
        <f>RANK(J465,$J$2:$J$601,1)</f>
        <v/>
      </c>
      <c r="L465">
        <f>IF(K465&lt;=60,1,0)</f>
        <v/>
      </c>
      <c r="M465">
        <f>IF(MOD(A465-7,10)=0,1,0)</f>
        <v/>
      </c>
      <c r="N465">
        <f>COUNTIFS($B$2:$B$601,B465,$J$2:$J$601,"&lt;"&amp;J465)+1</f>
        <v/>
      </c>
      <c r="O465">
        <f>ROUND(COUNTIF($B$2:$B$601,B465)/600*60,0)</f>
        <v/>
      </c>
      <c r="P465">
        <f>IF(N465&lt;=O465,1,0)</f>
        <v/>
      </c>
      <c r="Q465">
        <f>IF(OR(C465=4,C465=15,C465=27),1,0)</f>
        <v/>
      </c>
      <c r="R465">
        <f>IF(I465&lt;=60,1,0)</f>
        <v/>
      </c>
    </row>
    <row r="466">
      <c r="A466" t="n">
        <v>465</v>
      </c>
      <c r="B466" t="n">
        <v>3</v>
      </c>
      <c r="C466" t="n">
        <v>24</v>
      </c>
      <c r="D466" t="n">
        <v>2</v>
      </c>
      <c r="E466" t="n">
        <v>40</v>
      </c>
      <c r="F466" t="n">
        <v>1</v>
      </c>
      <c r="G466" t="n">
        <v>131</v>
      </c>
      <c r="H466" t="n">
        <v>0</v>
      </c>
      <c r="I466" t="n">
        <v>124</v>
      </c>
      <c r="J466" t="n">
        <v>0.348296</v>
      </c>
      <c r="K466">
        <f>RANK(J466,$J$2:$J$601,1)</f>
        <v/>
      </c>
      <c r="L466">
        <f>IF(K466&lt;=60,1,0)</f>
        <v/>
      </c>
      <c r="M466">
        <f>IF(MOD(A466-7,10)=0,1,0)</f>
        <v/>
      </c>
      <c r="N466">
        <f>COUNTIFS($B$2:$B$601,B466,$J$2:$J$601,"&lt;"&amp;J466)+1</f>
        <v/>
      </c>
      <c r="O466">
        <f>ROUND(COUNTIF($B$2:$B$601,B466)/600*60,0)</f>
        <v/>
      </c>
      <c r="P466">
        <f>IF(N466&lt;=O466,1,0)</f>
        <v/>
      </c>
      <c r="Q466">
        <f>IF(OR(C466=4,C466=15,C466=27),1,0)</f>
        <v/>
      </c>
      <c r="R466">
        <f>IF(I466&lt;=60,1,0)</f>
        <v/>
      </c>
    </row>
    <row r="467">
      <c r="A467" t="n">
        <v>466</v>
      </c>
      <c r="B467" t="n">
        <v>3</v>
      </c>
      <c r="C467" t="n">
        <v>24</v>
      </c>
      <c r="D467" t="n">
        <v>1</v>
      </c>
      <c r="E467" t="n">
        <v>57</v>
      </c>
      <c r="F467" t="n">
        <v>0</v>
      </c>
      <c r="G467" t="n">
        <v>108</v>
      </c>
      <c r="H467" t="n">
        <v>0</v>
      </c>
      <c r="I467" t="n">
        <v>485</v>
      </c>
      <c r="J467" t="n">
        <v>0.868569</v>
      </c>
      <c r="K467">
        <f>RANK(J467,$J$2:$J$601,1)</f>
        <v/>
      </c>
      <c r="L467">
        <f>IF(K467&lt;=60,1,0)</f>
        <v/>
      </c>
      <c r="M467">
        <f>IF(MOD(A467-7,10)=0,1,0)</f>
        <v/>
      </c>
      <c r="N467">
        <f>COUNTIFS($B$2:$B$601,B467,$J$2:$J$601,"&lt;"&amp;J467)+1</f>
        <v/>
      </c>
      <c r="O467">
        <f>ROUND(COUNTIF($B$2:$B$601,B467)/600*60,0)</f>
        <v/>
      </c>
      <c r="P467">
        <f>IF(N467&lt;=O467,1,0)</f>
        <v/>
      </c>
      <c r="Q467">
        <f>IF(OR(C467=4,C467=15,C467=27),1,0)</f>
        <v/>
      </c>
      <c r="R467">
        <f>IF(I467&lt;=60,1,0)</f>
        <v/>
      </c>
    </row>
    <row r="468">
      <c r="A468" t="n">
        <v>467</v>
      </c>
      <c r="B468" t="n">
        <v>3</v>
      </c>
      <c r="C468" t="n">
        <v>24</v>
      </c>
      <c r="D468" t="n">
        <v>1</v>
      </c>
      <c r="E468" t="n">
        <v>55</v>
      </c>
      <c r="F468" t="n">
        <v>0</v>
      </c>
      <c r="G468" t="n">
        <v>135</v>
      </c>
      <c r="H468" t="n">
        <v>0</v>
      </c>
      <c r="I468" t="n">
        <v>279</v>
      </c>
      <c r="J468" t="n">
        <v>0.994808</v>
      </c>
      <c r="K468">
        <f>RANK(J468,$J$2:$J$601,1)</f>
        <v/>
      </c>
      <c r="L468">
        <f>IF(K468&lt;=60,1,0)</f>
        <v/>
      </c>
      <c r="M468">
        <f>IF(MOD(A468-7,10)=0,1,0)</f>
        <v/>
      </c>
      <c r="N468">
        <f>COUNTIFS($B$2:$B$601,B468,$J$2:$J$601,"&lt;"&amp;J468)+1</f>
        <v/>
      </c>
      <c r="O468">
        <f>ROUND(COUNTIF($B$2:$B$601,B468)/600*60,0)</f>
        <v/>
      </c>
      <c r="P468">
        <f>IF(N468&lt;=O468,1,0)</f>
        <v/>
      </c>
      <c r="Q468">
        <f>IF(OR(C468=4,C468=15,C468=27),1,0)</f>
        <v/>
      </c>
      <c r="R468">
        <f>IF(I468&lt;=60,1,0)</f>
        <v/>
      </c>
    </row>
    <row r="469">
      <c r="A469" t="n">
        <v>468</v>
      </c>
      <c r="B469" t="n">
        <v>3</v>
      </c>
      <c r="C469" t="n">
        <v>24</v>
      </c>
      <c r="D469" t="n">
        <v>2</v>
      </c>
      <c r="E469" t="n">
        <v>34</v>
      </c>
      <c r="F469" t="n">
        <v>1</v>
      </c>
      <c r="G469" t="n">
        <v>132</v>
      </c>
      <c r="H469" t="n">
        <v>0</v>
      </c>
      <c r="I469" t="n">
        <v>102</v>
      </c>
      <c r="J469" t="n">
        <v>0.86463</v>
      </c>
      <c r="K469">
        <f>RANK(J469,$J$2:$J$601,1)</f>
        <v/>
      </c>
      <c r="L469">
        <f>IF(K469&lt;=60,1,0)</f>
        <v/>
      </c>
      <c r="M469">
        <f>IF(MOD(A469-7,10)=0,1,0)</f>
        <v/>
      </c>
      <c r="N469">
        <f>COUNTIFS($B$2:$B$601,B469,$J$2:$J$601,"&lt;"&amp;J469)+1</f>
        <v/>
      </c>
      <c r="O469">
        <f>ROUND(COUNTIF($B$2:$B$601,B469)/600*60,0)</f>
        <v/>
      </c>
      <c r="P469">
        <f>IF(N469&lt;=O469,1,0)</f>
        <v/>
      </c>
      <c r="Q469">
        <f>IF(OR(C469=4,C469=15,C469=27),1,0)</f>
        <v/>
      </c>
      <c r="R469">
        <f>IF(I469&lt;=60,1,0)</f>
        <v/>
      </c>
    </row>
    <row r="470">
      <c r="A470" t="n">
        <v>469</v>
      </c>
      <c r="B470" t="n">
        <v>3</v>
      </c>
      <c r="C470" t="n">
        <v>24</v>
      </c>
      <c r="D470" t="n">
        <v>2</v>
      </c>
      <c r="E470" t="n">
        <v>60</v>
      </c>
      <c r="F470" t="n">
        <v>1</v>
      </c>
      <c r="G470" t="n">
        <v>144</v>
      </c>
      <c r="H470" t="n">
        <v>1</v>
      </c>
      <c r="I470" t="n">
        <v>49</v>
      </c>
      <c r="J470" t="n">
        <v>0.418441</v>
      </c>
      <c r="K470">
        <f>RANK(J470,$J$2:$J$601,1)</f>
        <v/>
      </c>
      <c r="L470">
        <f>IF(K470&lt;=60,1,0)</f>
        <v/>
      </c>
      <c r="M470">
        <f>IF(MOD(A470-7,10)=0,1,0)</f>
        <v/>
      </c>
      <c r="N470">
        <f>COUNTIFS($B$2:$B$601,B470,$J$2:$J$601,"&lt;"&amp;J470)+1</f>
        <v/>
      </c>
      <c r="O470">
        <f>ROUND(COUNTIF($B$2:$B$601,B470)/600*60,0)</f>
        <v/>
      </c>
      <c r="P470">
        <f>IF(N470&lt;=O470,1,0)</f>
        <v/>
      </c>
      <c r="Q470">
        <f>IF(OR(C470=4,C470=15,C470=27),1,0)</f>
        <v/>
      </c>
      <c r="R470">
        <f>IF(I470&lt;=60,1,0)</f>
        <v/>
      </c>
    </row>
    <row r="471">
      <c r="A471" t="n">
        <v>470</v>
      </c>
      <c r="B471" t="n">
        <v>3</v>
      </c>
      <c r="C471" t="n">
        <v>24</v>
      </c>
      <c r="D471" t="n">
        <v>2</v>
      </c>
      <c r="E471" t="n">
        <v>57</v>
      </c>
      <c r="F471" t="n">
        <v>0</v>
      </c>
      <c r="G471" t="n">
        <v>145</v>
      </c>
      <c r="H471" t="n">
        <v>1</v>
      </c>
      <c r="I471" t="n">
        <v>218</v>
      </c>
      <c r="J471" t="n">
        <v>0.755003</v>
      </c>
      <c r="K471">
        <f>RANK(J471,$J$2:$J$601,1)</f>
        <v/>
      </c>
      <c r="L471">
        <f>IF(K471&lt;=60,1,0)</f>
        <v/>
      </c>
      <c r="M471">
        <f>IF(MOD(A471-7,10)=0,1,0)</f>
        <v/>
      </c>
      <c r="N471">
        <f>COUNTIFS($B$2:$B$601,B471,$J$2:$J$601,"&lt;"&amp;J471)+1</f>
        <v/>
      </c>
      <c r="O471">
        <f>ROUND(COUNTIF($B$2:$B$601,B471)/600*60,0)</f>
        <v/>
      </c>
      <c r="P471">
        <f>IF(N471&lt;=O471,1,0)</f>
        <v/>
      </c>
      <c r="Q471">
        <f>IF(OR(C471=4,C471=15,C471=27),1,0)</f>
        <v/>
      </c>
      <c r="R471">
        <f>IF(I471&lt;=60,1,0)</f>
        <v/>
      </c>
    </row>
    <row r="472">
      <c r="A472" t="n">
        <v>471</v>
      </c>
      <c r="B472" t="n">
        <v>3</v>
      </c>
      <c r="C472" t="n">
        <v>24</v>
      </c>
      <c r="D472" t="n">
        <v>2</v>
      </c>
      <c r="E472" t="n">
        <v>32</v>
      </c>
      <c r="F472" t="n">
        <v>0</v>
      </c>
      <c r="G472" t="n">
        <v>119</v>
      </c>
      <c r="H472" t="n">
        <v>0</v>
      </c>
      <c r="I472" t="n">
        <v>499</v>
      </c>
      <c r="J472" t="n">
        <v>0.363571</v>
      </c>
      <c r="K472">
        <f>RANK(J472,$J$2:$J$601,1)</f>
        <v/>
      </c>
      <c r="L472">
        <f>IF(K472&lt;=60,1,0)</f>
        <v/>
      </c>
      <c r="M472">
        <f>IF(MOD(A472-7,10)=0,1,0)</f>
        <v/>
      </c>
      <c r="N472">
        <f>COUNTIFS($B$2:$B$601,B472,$J$2:$J$601,"&lt;"&amp;J472)+1</f>
        <v/>
      </c>
      <c r="O472">
        <f>ROUND(COUNTIF($B$2:$B$601,B472)/600*60,0)</f>
        <v/>
      </c>
      <c r="P472">
        <f>IF(N472&lt;=O472,1,0)</f>
        <v/>
      </c>
      <c r="Q472">
        <f>IF(OR(C472=4,C472=15,C472=27),1,0)</f>
        <v/>
      </c>
      <c r="R472">
        <f>IF(I472&lt;=60,1,0)</f>
        <v/>
      </c>
    </row>
    <row r="473">
      <c r="A473" t="n">
        <v>472</v>
      </c>
      <c r="B473" t="n">
        <v>3</v>
      </c>
      <c r="C473" t="n">
        <v>24</v>
      </c>
      <c r="D473" t="n">
        <v>2</v>
      </c>
      <c r="E473" t="n">
        <v>37</v>
      </c>
      <c r="F473" t="n">
        <v>1</v>
      </c>
      <c r="G473" t="n">
        <v>115</v>
      </c>
      <c r="H473" t="n">
        <v>0</v>
      </c>
      <c r="I473" t="n">
        <v>391</v>
      </c>
      <c r="J473" t="n">
        <v>0.95199</v>
      </c>
      <c r="K473">
        <f>RANK(J473,$J$2:$J$601,1)</f>
        <v/>
      </c>
      <c r="L473">
        <f>IF(K473&lt;=60,1,0)</f>
        <v/>
      </c>
      <c r="M473">
        <f>IF(MOD(A473-7,10)=0,1,0)</f>
        <v/>
      </c>
      <c r="N473">
        <f>COUNTIFS($B$2:$B$601,B473,$J$2:$J$601,"&lt;"&amp;J473)+1</f>
        <v/>
      </c>
      <c r="O473">
        <f>ROUND(COUNTIF($B$2:$B$601,B473)/600*60,0)</f>
        <v/>
      </c>
      <c r="P473">
        <f>IF(N473&lt;=O473,1,0)</f>
        <v/>
      </c>
      <c r="Q473">
        <f>IF(OR(C473=4,C473=15,C473=27),1,0)</f>
        <v/>
      </c>
      <c r="R473">
        <f>IF(I473&lt;=60,1,0)</f>
        <v/>
      </c>
    </row>
    <row r="474">
      <c r="A474" t="n">
        <v>473</v>
      </c>
      <c r="B474" t="n">
        <v>3</v>
      </c>
      <c r="C474" t="n">
        <v>24</v>
      </c>
      <c r="D474" t="n">
        <v>1</v>
      </c>
      <c r="E474" t="n">
        <v>33</v>
      </c>
      <c r="F474" t="n">
        <v>0</v>
      </c>
      <c r="G474" t="n">
        <v>120</v>
      </c>
      <c r="H474" t="n">
        <v>0</v>
      </c>
      <c r="I474" t="n">
        <v>455</v>
      </c>
      <c r="J474" t="n">
        <v>0.8041740000000001</v>
      </c>
      <c r="K474">
        <f>RANK(J474,$J$2:$J$601,1)</f>
        <v/>
      </c>
      <c r="L474">
        <f>IF(K474&lt;=60,1,0)</f>
        <v/>
      </c>
      <c r="M474">
        <f>IF(MOD(A474-7,10)=0,1,0)</f>
        <v/>
      </c>
      <c r="N474">
        <f>COUNTIFS($B$2:$B$601,B474,$J$2:$J$601,"&lt;"&amp;J474)+1</f>
        <v/>
      </c>
      <c r="O474">
        <f>ROUND(COUNTIF($B$2:$B$601,B474)/600*60,0)</f>
        <v/>
      </c>
      <c r="P474">
        <f>IF(N474&lt;=O474,1,0)</f>
        <v/>
      </c>
      <c r="Q474">
        <f>IF(OR(C474=4,C474=15,C474=27),1,0)</f>
        <v/>
      </c>
      <c r="R474">
        <f>IF(I474&lt;=60,1,0)</f>
        <v/>
      </c>
    </row>
    <row r="475">
      <c r="A475" t="n">
        <v>474</v>
      </c>
      <c r="B475" t="n">
        <v>3</v>
      </c>
      <c r="C475" t="n">
        <v>24</v>
      </c>
      <c r="D475" t="n">
        <v>2</v>
      </c>
      <c r="E475" t="n">
        <v>78</v>
      </c>
      <c r="F475" t="n">
        <v>0</v>
      </c>
      <c r="G475" t="n">
        <v>149</v>
      </c>
      <c r="H475" t="n">
        <v>1</v>
      </c>
      <c r="I475" t="n">
        <v>42</v>
      </c>
      <c r="J475" t="n">
        <v>0.338068</v>
      </c>
      <c r="K475">
        <f>RANK(J475,$J$2:$J$601,1)</f>
        <v/>
      </c>
      <c r="L475">
        <f>IF(K475&lt;=60,1,0)</f>
        <v/>
      </c>
      <c r="M475">
        <f>IF(MOD(A475-7,10)=0,1,0)</f>
        <v/>
      </c>
      <c r="N475">
        <f>COUNTIFS($B$2:$B$601,B475,$J$2:$J$601,"&lt;"&amp;J475)+1</f>
        <v/>
      </c>
      <c r="O475">
        <f>ROUND(COUNTIF($B$2:$B$601,B475)/600*60,0)</f>
        <v/>
      </c>
      <c r="P475">
        <f>IF(N475&lt;=O475,1,0)</f>
        <v/>
      </c>
      <c r="Q475">
        <f>IF(OR(C475=4,C475=15,C475=27),1,0)</f>
        <v/>
      </c>
      <c r="R475">
        <f>IF(I475&lt;=60,1,0)</f>
        <v/>
      </c>
    </row>
    <row r="476">
      <c r="A476" t="n">
        <v>475</v>
      </c>
      <c r="B476" t="n">
        <v>3</v>
      </c>
      <c r="C476" t="n">
        <v>24</v>
      </c>
      <c r="D476" t="n">
        <v>1</v>
      </c>
      <c r="E476" t="n">
        <v>46</v>
      </c>
      <c r="F476" t="n">
        <v>0</v>
      </c>
      <c r="G476" t="n">
        <v>109</v>
      </c>
      <c r="H476" t="n">
        <v>0</v>
      </c>
      <c r="I476" t="n">
        <v>378</v>
      </c>
      <c r="J476" t="n">
        <v>0.728941</v>
      </c>
      <c r="K476">
        <f>RANK(J476,$J$2:$J$601,1)</f>
        <v/>
      </c>
      <c r="L476">
        <f>IF(K476&lt;=60,1,0)</f>
        <v/>
      </c>
      <c r="M476">
        <f>IF(MOD(A476-7,10)=0,1,0)</f>
        <v/>
      </c>
      <c r="N476">
        <f>COUNTIFS($B$2:$B$601,B476,$J$2:$J$601,"&lt;"&amp;J476)+1</f>
        <v/>
      </c>
      <c r="O476">
        <f>ROUND(COUNTIF($B$2:$B$601,B476)/600*60,0)</f>
        <v/>
      </c>
      <c r="P476">
        <f>IF(N476&lt;=O476,1,0)</f>
        <v/>
      </c>
      <c r="Q476">
        <f>IF(OR(C476=4,C476=15,C476=27),1,0)</f>
        <v/>
      </c>
      <c r="R476">
        <f>IF(I476&lt;=60,1,0)</f>
        <v/>
      </c>
    </row>
    <row r="477">
      <c r="A477" t="n">
        <v>476</v>
      </c>
      <c r="B477" t="n">
        <v>3</v>
      </c>
      <c r="C477" t="n">
        <v>24</v>
      </c>
      <c r="D477" t="n">
        <v>1</v>
      </c>
      <c r="E477" t="n">
        <v>80</v>
      </c>
      <c r="F477" t="n">
        <v>0</v>
      </c>
      <c r="G477" t="n">
        <v>129</v>
      </c>
      <c r="H477" t="n">
        <v>0</v>
      </c>
      <c r="I477" t="n">
        <v>197</v>
      </c>
      <c r="J477" t="n">
        <v>0.413438</v>
      </c>
      <c r="K477">
        <f>RANK(J477,$J$2:$J$601,1)</f>
        <v/>
      </c>
      <c r="L477">
        <f>IF(K477&lt;=60,1,0)</f>
        <v/>
      </c>
      <c r="M477">
        <f>IF(MOD(A477-7,10)=0,1,0)</f>
        <v/>
      </c>
      <c r="N477">
        <f>COUNTIFS($B$2:$B$601,B477,$J$2:$J$601,"&lt;"&amp;J477)+1</f>
        <v/>
      </c>
      <c r="O477">
        <f>ROUND(COUNTIF($B$2:$B$601,B477)/600*60,0)</f>
        <v/>
      </c>
      <c r="P477">
        <f>IF(N477&lt;=O477,1,0)</f>
        <v/>
      </c>
      <c r="Q477">
        <f>IF(OR(C477=4,C477=15,C477=27),1,0)</f>
        <v/>
      </c>
      <c r="R477">
        <f>IF(I477&lt;=60,1,0)</f>
        <v/>
      </c>
    </row>
    <row r="478">
      <c r="A478" t="n">
        <v>477</v>
      </c>
      <c r="B478" t="n">
        <v>3</v>
      </c>
      <c r="C478" t="n">
        <v>24</v>
      </c>
      <c r="D478" t="n">
        <v>1</v>
      </c>
      <c r="E478" t="n">
        <v>54</v>
      </c>
      <c r="F478" t="n">
        <v>0</v>
      </c>
      <c r="G478" t="n">
        <v>131</v>
      </c>
      <c r="H478" t="n">
        <v>0</v>
      </c>
      <c r="I478" t="n">
        <v>587</v>
      </c>
      <c r="J478" t="n">
        <v>0.670507</v>
      </c>
      <c r="K478">
        <f>RANK(J478,$J$2:$J$601,1)</f>
        <v/>
      </c>
      <c r="L478">
        <f>IF(K478&lt;=60,1,0)</f>
        <v/>
      </c>
      <c r="M478">
        <f>IF(MOD(A478-7,10)=0,1,0)</f>
        <v/>
      </c>
      <c r="N478">
        <f>COUNTIFS($B$2:$B$601,B478,$J$2:$J$601,"&lt;"&amp;J478)+1</f>
        <v/>
      </c>
      <c r="O478">
        <f>ROUND(COUNTIF($B$2:$B$601,B478)/600*60,0)</f>
        <v/>
      </c>
      <c r="P478">
        <f>IF(N478&lt;=O478,1,0)</f>
        <v/>
      </c>
      <c r="Q478">
        <f>IF(OR(C478=4,C478=15,C478=27),1,0)</f>
        <v/>
      </c>
      <c r="R478">
        <f>IF(I478&lt;=60,1,0)</f>
        <v/>
      </c>
    </row>
    <row r="479">
      <c r="A479" t="n">
        <v>478</v>
      </c>
      <c r="B479" t="n">
        <v>3</v>
      </c>
      <c r="C479" t="n">
        <v>24</v>
      </c>
      <c r="D479" t="n">
        <v>2</v>
      </c>
      <c r="E479" t="n">
        <v>55</v>
      </c>
      <c r="F479" t="n">
        <v>0</v>
      </c>
      <c r="G479" t="n">
        <v>123</v>
      </c>
      <c r="H479" t="n">
        <v>0</v>
      </c>
      <c r="I479" t="n">
        <v>370</v>
      </c>
      <c r="J479" t="n">
        <v>0.380946</v>
      </c>
      <c r="K479">
        <f>RANK(J479,$J$2:$J$601,1)</f>
        <v/>
      </c>
      <c r="L479">
        <f>IF(K479&lt;=60,1,0)</f>
        <v/>
      </c>
      <c r="M479">
        <f>IF(MOD(A479-7,10)=0,1,0)</f>
        <v/>
      </c>
      <c r="N479">
        <f>COUNTIFS($B$2:$B$601,B479,$J$2:$J$601,"&lt;"&amp;J479)+1</f>
        <v/>
      </c>
      <c r="O479">
        <f>ROUND(COUNTIF($B$2:$B$601,B479)/600*60,0)</f>
        <v/>
      </c>
      <c r="P479">
        <f>IF(N479&lt;=O479,1,0)</f>
        <v/>
      </c>
      <c r="Q479">
        <f>IF(OR(C479=4,C479=15,C479=27),1,0)</f>
        <v/>
      </c>
      <c r="R479">
        <f>IF(I479&lt;=60,1,0)</f>
        <v/>
      </c>
    </row>
    <row r="480">
      <c r="A480" t="n">
        <v>479</v>
      </c>
      <c r="B480" t="n">
        <v>3</v>
      </c>
      <c r="C480" t="n">
        <v>24</v>
      </c>
      <c r="D480" t="n">
        <v>1</v>
      </c>
      <c r="E480" t="n">
        <v>51</v>
      </c>
      <c r="F480" t="n">
        <v>0</v>
      </c>
      <c r="G480" t="n">
        <v>133</v>
      </c>
      <c r="H480" t="n">
        <v>0</v>
      </c>
      <c r="I480" t="n">
        <v>247</v>
      </c>
      <c r="J480" t="n">
        <v>0.538957</v>
      </c>
      <c r="K480">
        <f>RANK(J480,$J$2:$J$601,1)</f>
        <v/>
      </c>
      <c r="L480">
        <f>IF(K480&lt;=60,1,0)</f>
        <v/>
      </c>
      <c r="M480">
        <f>IF(MOD(A480-7,10)=0,1,0)</f>
        <v/>
      </c>
      <c r="N480">
        <f>COUNTIFS($B$2:$B$601,B480,$J$2:$J$601,"&lt;"&amp;J480)+1</f>
        <v/>
      </c>
      <c r="O480">
        <f>ROUND(COUNTIF($B$2:$B$601,B480)/600*60,0)</f>
        <v/>
      </c>
      <c r="P480">
        <f>IF(N480&lt;=O480,1,0)</f>
        <v/>
      </c>
      <c r="Q480">
        <f>IF(OR(C480=4,C480=15,C480=27),1,0)</f>
        <v/>
      </c>
      <c r="R480">
        <f>IF(I480&lt;=60,1,0)</f>
        <v/>
      </c>
    </row>
    <row r="481">
      <c r="A481" t="n">
        <v>480</v>
      </c>
      <c r="B481" t="n">
        <v>3</v>
      </c>
      <c r="C481" t="n">
        <v>24</v>
      </c>
      <c r="D481" t="n">
        <v>2</v>
      </c>
      <c r="E481" t="n">
        <v>57</v>
      </c>
      <c r="F481" t="n">
        <v>0</v>
      </c>
      <c r="G481" t="n">
        <v>135</v>
      </c>
      <c r="H481" t="n">
        <v>0</v>
      </c>
      <c r="I481" t="n">
        <v>181</v>
      </c>
      <c r="J481" t="n">
        <v>0.321541</v>
      </c>
      <c r="K481">
        <f>RANK(J481,$J$2:$J$601,1)</f>
        <v/>
      </c>
      <c r="L481">
        <f>IF(K481&lt;=60,1,0)</f>
        <v/>
      </c>
      <c r="M481">
        <f>IF(MOD(A481-7,10)=0,1,0)</f>
        <v/>
      </c>
      <c r="N481">
        <f>COUNTIFS($B$2:$B$601,B481,$J$2:$J$601,"&lt;"&amp;J481)+1</f>
        <v/>
      </c>
      <c r="O481">
        <f>ROUND(COUNTIF($B$2:$B$601,B481)/600*60,0)</f>
        <v/>
      </c>
      <c r="P481">
        <f>IF(N481&lt;=O481,1,0)</f>
        <v/>
      </c>
      <c r="Q481">
        <f>IF(OR(C481=4,C481=15,C481=27),1,0)</f>
        <v/>
      </c>
      <c r="R481">
        <f>IF(I481&lt;=60,1,0)</f>
        <v/>
      </c>
    </row>
    <row r="482">
      <c r="A482" t="n">
        <v>481</v>
      </c>
      <c r="B482" t="n">
        <v>3</v>
      </c>
      <c r="C482" t="n">
        <v>25</v>
      </c>
      <c r="D482" t="n">
        <v>2</v>
      </c>
      <c r="E482" t="n">
        <v>64</v>
      </c>
      <c r="F482" t="n">
        <v>1</v>
      </c>
      <c r="G482" t="n">
        <v>154</v>
      </c>
      <c r="H482" t="n">
        <v>1</v>
      </c>
      <c r="I482" t="n">
        <v>172</v>
      </c>
      <c r="J482" t="n">
        <v>0.858909</v>
      </c>
      <c r="K482">
        <f>RANK(J482,$J$2:$J$601,1)</f>
        <v/>
      </c>
      <c r="L482">
        <f>IF(K482&lt;=60,1,0)</f>
        <v/>
      </c>
      <c r="M482">
        <f>IF(MOD(A482-7,10)=0,1,0)</f>
        <v/>
      </c>
      <c r="N482">
        <f>COUNTIFS($B$2:$B$601,B482,$J$2:$J$601,"&lt;"&amp;J482)+1</f>
        <v/>
      </c>
      <c r="O482">
        <f>ROUND(COUNTIF($B$2:$B$601,B482)/600*60,0)</f>
        <v/>
      </c>
      <c r="P482">
        <f>IF(N482&lt;=O482,1,0)</f>
        <v/>
      </c>
      <c r="Q482">
        <f>IF(OR(C482=4,C482=15,C482=27),1,0)</f>
        <v/>
      </c>
      <c r="R482">
        <f>IF(I482&lt;=60,1,0)</f>
        <v/>
      </c>
    </row>
    <row r="483">
      <c r="A483" t="n">
        <v>482</v>
      </c>
      <c r="B483" t="n">
        <v>3</v>
      </c>
      <c r="C483" t="n">
        <v>25</v>
      </c>
      <c r="D483" t="n">
        <v>2</v>
      </c>
      <c r="E483" t="n">
        <v>38</v>
      </c>
      <c r="F483" t="n">
        <v>0</v>
      </c>
      <c r="G483" t="n">
        <v>107</v>
      </c>
      <c r="H483" t="n">
        <v>0</v>
      </c>
      <c r="I483" t="n">
        <v>513</v>
      </c>
      <c r="J483" t="n">
        <v>0.749009</v>
      </c>
      <c r="K483">
        <f>RANK(J483,$J$2:$J$601,1)</f>
        <v/>
      </c>
      <c r="L483">
        <f>IF(K483&lt;=60,1,0)</f>
        <v/>
      </c>
      <c r="M483">
        <f>IF(MOD(A483-7,10)=0,1,0)</f>
        <v/>
      </c>
      <c r="N483">
        <f>COUNTIFS($B$2:$B$601,B483,$J$2:$J$601,"&lt;"&amp;J483)+1</f>
        <v/>
      </c>
      <c r="O483">
        <f>ROUND(COUNTIF($B$2:$B$601,B483)/600*60,0)</f>
        <v/>
      </c>
      <c r="P483">
        <f>IF(N483&lt;=O483,1,0)</f>
        <v/>
      </c>
      <c r="Q483">
        <f>IF(OR(C483=4,C483=15,C483=27),1,0)</f>
        <v/>
      </c>
      <c r="R483">
        <f>IF(I483&lt;=60,1,0)</f>
        <v/>
      </c>
    </row>
    <row r="484">
      <c r="A484" t="n">
        <v>483</v>
      </c>
      <c r="B484" t="n">
        <v>3</v>
      </c>
      <c r="C484" t="n">
        <v>25</v>
      </c>
      <c r="D484" t="n">
        <v>2</v>
      </c>
      <c r="E484" t="n">
        <v>58</v>
      </c>
      <c r="F484" t="n">
        <v>0</v>
      </c>
      <c r="G484" t="n">
        <v>128</v>
      </c>
      <c r="H484" t="n">
        <v>0</v>
      </c>
      <c r="I484" t="n">
        <v>521</v>
      </c>
      <c r="J484" t="n">
        <v>0.961718</v>
      </c>
      <c r="K484">
        <f>RANK(J484,$J$2:$J$601,1)</f>
        <v/>
      </c>
      <c r="L484">
        <f>IF(K484&lt;=60,1,0)</f>
        <v/>
      </c>
      <c r="M484">
        <f>IF(MOD(A484-7,10)=0,1,0)</f>
        <v/>
      </c>
      <c r="N484">
        <f>COUNTIFS($B$2:$B$601,B484,$J$2:$J$601,"&lt;"&amp;J484)+1</f>
        <v/>
      </c>
      <c r="O484">
        <f>ROUND(COUNTIF($B$2:$B$601,B484)/600*60,0)</f>
        <v/>
      </c>
      <c r="P484">
        <f>IF(N484&lt;=O484,1,0)</f>
        <v/>
      </c>
      <c r="Q484">
        <f>IF(OR(C484=4,C484=15,C484=27),1,0)</f>
        <v/>
      </c>
      <c r="R484">
        <f>IF(I484&lt;=60,1,0)</f>
        <v/>
      </c>
    </row>
    <row r="485">
      <c r="A485" t="n">
        <v>484</v>
      </c>
      <c r="B485" t="n">
        <v>3</v>
      </c>
      <c r="C485" t="n">
        <v>25</v>
      </c>
      <c r="D485" t="n">
        <v>1</v>
      </c>
      <c r="E485" t="n">
        <v>30</v>
      </c>
      <c r="F485" t="n">
        <v>1</v>
      </c>
      <c r="G485" t="n">
        <v>120</v>
      </c>
      <c r="H485" t="n">
        <v>0</v>
      </c>
      <c r="I485" t="n">
        <v>478</v>
      </c>
      <c r="J485" t="n">
        <v>0.697226</v>
      </c>
      <c r="K485">
        <f>RANK(J485,$J$2:$J$601,1)</f>
        <v/>
      </c>
      <c r="L485">
        <f>IF(K485&lt;=60,1,0)</f>
        <v/>
      </c>
      <c r="M485">
        <f>IF(MOD(A485-7,10)=0,1,0)</f>
        <v/>
      </c>
      <c r="N485">
        <f>COUNTIFS($B$2:$B$601,B485,$J$2:$J$601,"&lt;"&amp;J485)+1</f>
        <v/>
      </c>
      <c r="O485">
        <f>ROUND(COUNTIF($B$2:$B$601,B485)/600*60,0)</f>
        <v/>
      </c>
      <c r="P485">
        <f>IF(N485&lt;=O485,1,0)</f>
        <v/>
      </c>
      <c r="Q485">
        <f>IF(OR(C485=4,C485=15,C485=27),1,0)</f>
        <v/>
      </c>
      <c r="R485">
        <f>IF(I485&lt;=60,1,0)</f>
        <v/>
      </c>
    </row>
    <row r="486">
      <c r="A486" t="n">
        <v>485</v>
      </c>
      <c r="B486" t="n">
        <v>3</v>
      </c>
      <c r="C486" t="n">
        <v>25</v>
      </c>
      <c r="D486" t="n">
        <v>1</v>
      </c>
      <c r="E486" t="n">
        <v>36</v>
      </c>
      <c r="F486" t="n">
        <v>0</v>
      </c>
      <c r="G486" t="n">
        <v>107</v>
      </c>
      <c r="H486" t="n">
        <v>0</v>
      </c>
      <c r="I486" t="n">
        <v>460</v>
      </c>
      <c r="J486" t="n">
        <v>0.773747</v>
      </c>
      <c r="K486">
        <f>RANK(J486,$J$2:$J$601,1)</f>
        <v/>
      </c>
      <c r="L486">
        <f>IF(K486&lt;=60,1,0)</f>
        <v/>
      </c>
      <c r="M486">
        <f>IF(MOD(A486-7,10)=0,1,0)</f>
        <v/>
      </c>
      <c r="N486">
        <f>COUNTIFS($B$2:$B$601,B486,$J$2:$J$601,"&lt;"&amp;J486)+1</f>
        <v/>
      </c>
      <c r="O486">
        <f>ROUND(COUNTIF($B$2:$B$601,B486)/600*60,0)</f>
        <v/>
      </c>
      <c r="P486">
        <f>IF(N486&lt;=O486,1,0)</f>
        <v/>
      </c>
      <c r="Q486">
        <f>IF(OR(C486=4,C486=15,C486=27),1,0)</f>
        <v/>
      </c>
      <c r="R486">
        <f>IF(I486&lt;=60,1,0)</f>
        <v/>
      </c>
    </row>
    <row r="487">
      <c r="A487" t="n">
        <v>486</v>
      </c>
      <c r="B487" t="n">
        <v>3</v>
      </c>
      <c r="C487" t="n">
        <v>25</v>
      </c>
      <c r="D487" t="n">
        <v>2</v>
      </c>
      <c r="E487" t="n">
        <v>75</v>
      </c>
      <c r="F487" t="n">
        <v>0</v>
      </c>
      <c r="G487" t="n">
        <v>116</v>
      </c>
      <c r="H487" t="n">
        <v>0</v>
      </c>
      <c r="I487" t="n">
        <v>243</v>
      </c>
      <c r="J487" t="n">
        <v>0.309911</v>
      </c>
      <c r="K487">
        <f>RANK(J487,$J$2:$J$601,1)</f>
        <v/>
      </c>
      <c r="L487">
        <f>IF(K487&lt;=60,1,0)</f>
        <v/>
      </c>
      <c r="M487">
        <f>IF(MOD(A487-7,10)=0,1,0)</f>
        <v/>
      </c>
      <c r="N487">
        <f>COUNTIFS($B$2:$B$601,B487,$J$2:$J$601,"&lt;"&amp;J487)+1</f>
        <v/>
      </c>
      <c r="O487">
        <f>ROUND(COUNTIF($B$2:$B$601,B487)/600*60,0)</f>
        <v/>
      </c>
      <c r="P487">
        <f>IF(N487&lt;=O487,1,0)</f>
        <v/>
      </c>
      <c r="Q487">
        <f>IF(OR(C487=4,C487=15,C487=27),1,0)</f>
        <v/>
      </c>
      <c r="R487">
        <f>IF(I487&lt;=60,1,0)</f>
        <v/>
      </c>
    </row>
    <row r="488">
      <c r="A488" t="n">
        <v>487</v>
      </c>
      <c r="B488" t="n">
        <v>3</v>
      </c>
      <c r="C488" t="n">
        <v>25</v>
      </c>
      <c r="D488" t="n">
        <v>2</v>
      </c>
      <c r="E488" t="n">
        <v>53</v>
      </c>
      <c r="F488" t="n">
        <v>1</v>
      </c>
      <c r="G488" t="n">
        <v>131</v>
      </c>
      <c r="H488" t="n">
        <v>0</v>
      </c>
      <c r="I488" t="n">
        <v>336</v>
      </c>
      <c r="J488" t="n">
        <v>0.270294</v>
      </c>
      <c r="K488">
        <f>RANK(J488,$J$2:$J$601,1)</f>
        <v/>
      </c>
      <c r="L488">
        <f>IF(K488&lt;=60,1,0)</f>
        <v/>
      </c>
      <c r="M488">
        <f>IF(MOD(A488-7,10)=0,1,0)</f>
        <v/>
      </c>
      <c r="N488">
        <f>COUNTIFS($B$2:$B$601,B488,$J$2:$J$601,"&lt;"&amp;J488)+1</f>
        <v/>
      </c>
      <c r="O488">
        <f>ROUND(COUNTIF($B$2:$B$601,B488)/600*60,0)</f>
        <v/>
      </c>
      <c r="P488">
        <f>IF(N488&lt;=O488,1,0)</f>
        <v/>
      </c>
      <c r="Q488">
        <f>IF(OR(C488=4,C488=15,C488=27),1,0)</f>
        <v/>
      </c>
      <c r="R488">
        <f>IF(I488&lt;=60,1,0)</f>
        <v/>
      </c>
    </row>
    <row r="489">
      <c r="A489" t="n">
        <v>488</v>
      </c>
      <c r="B489" t="n">
        <v>3</v>
      </c>
      <c r="C489" t="n">
        <v>25</v>
      </c>
      <c r="D489" t="n">
        <v>2</v>
      </c>
      <c r="E489" t="n">
        <v>73</v>
      </c>
      <c r="F489" t="n">
        <v>1</v>
      </c>
      <c r="G489" t="n">
        <v>133</v>
      </c>
      <c r="H489" t="n">
        <v>0</v>
      </c>
      <c r="I489" t="n">
        <v>555</v>
      </c>
      <c r="J489" t="n">
        <v>0.364634</v>
      </c>
      <c r="K489">
        <f>RANK(J489,$J$2:$J$601,1)</f>
        <v/>
      </c>
      <c r="L489">
        <f>IF(K489&lt;=60,1,0)</f>
        <v/>
      </c>
      <c r="M489">
        <f>IF(MOD(A489-7,10)=0,1,0)</f>
        <v/>
      </c>
      <c r="N489">
        <f>COUNTIFS($B$2:$B$601,B489,$J$2:$J$601,"&lt;"&amp;J489)+1</f>
        <v/>
      </c>
      <c r="O489">
        <f>ROUND(COUNTIF($B$2:$B$601,B489)/600*60,0)</f>
        <v/>
      </c>
      <c r="P489">
        <f>IF(N489&lt;=O489,1,0)</f>
        <v/>
      </c>
      <c r="Q489">
        <f>IF(OR(C489=4,C489=15,C489=27),1,0)</f>
        <v/>
      </c>
      <c r="R489">
        <f>IF(I489&lt;=60,1,0)</f>
        <v/>
      </c>
    </row>
    <row r="490">
      <c r="A490" t="n">
        <v>489</v>
      </c>
      <c r="B490" t="n">
        <v>3</v>
      </c>
      <c r="C490" t="n">
        <v>25</v>
      </c>
      <c r="D490" t="n">
        <v>2</v>
      </c>
      <c r="E490" t="n">
        <v>69</v>
      </c>
      <c r="F490" t="n">
        <v>0</v>
      </c>
      <c r="G490" t="n">
        <v>146</v>
      </c>
      <c r="H490" t="n">
        <v>1</v>
      </c>
      <c r="I490" t="n">
        <v>187</v>
      </c>
      <c r="J490" t="n">
        <v>0.537529</v>
      </c>
      <c r="K490">
        <f>RANK(J490,$J$2:$J$601,1)</f>
        <v/>
      </c>
      <c r="L490">
        <f>IF(K490&lt;=60,1,0)</f>
        <v/>
      </c>
      <c r="M490">
        <f>IF(MOD(A490-7,10)=0,1,0)</f>
        <v/>
      </c>
      <c r="N490">
        <f>COUNTIFS($B$2:$B$601,B490,$J$2:$J$601,"&lt;"&amp;J490)+1</f>
        <v/>
      </c>
      <c r="O490">
        <f>ROUND(COUNTIF($B$2:$B$601,B490)/600*60,0)</f>
        <v/>
      </c>
      <c r="P490">
        <f>IF(N490&lt;=O490,1,0)</f>
        <v/>
      </c>
      <c r="Q490">
        <f>IF(OR(C490=4,C490=15,C490=27),1,0)</f>
        <v/>
      </c>
      <c r="R490">
        <f>IF(I490&lt;=60,1,0)</f>
        <v/>
      </c>
    </row>
    <row r="491">
      <c r="A491" t="n">
        <v>490</v>
      </c>
      <c r="B491" t="n">
        <v>3</v>
      </c>
      <c r="C491" t="n">
        <v>25</v>
      </c>
      <c r="D491" t="n">
        <v>1</v>
      </c>
      <c r="E491" t="n">
        <v>36</v>
      </c>
      <c r="F491" t="n">
        <v>0</v>
      </c>
      <c r="G491" t="n">
        <v>131</v>
      </c>
      <c r="H491" t="n">
        <v>0</v>
      </c>
      <c r="I491" t="n">
        <v>567</v>
      </c>
      <c r="J491" t="n">
        <v>0.026831</v>
      </c>
      <c r="K491">
        <f>RANK(J491,$J$2:$J$601,1)</f>
        <v/>
      </c>
      <c r="L491">
        <f>IF(K491&lt;=60,1,0)</f>
        <v/>
      </c>
      <c r="M491">
        <f>IF(MOD(A491-7,10)=0,1,0)</f>
        <v/>
      </c>
      <c r="N491">
        <f>COUNTIFS($B$2:$B$601,B491,$J$2:$J$601,"&lt;"&amp;J491)+1</f>
        <v/>
      </c>
      <c r="O491">
        <f>ROUND(COUNTIF($B$2:$B$601,B491)/600*60,0)</f>
        <v/>
      </c>
      <c r="P491">
        <f>IF(N491&lt;=O491,1,0)</f>
        <v/>
      </c>
      <c r="Q491">
        <f>IF(OR(C491=4,C491=15,C491=27),1,0)</f>
        <v/>
      </c>
      <c r="R491">
        <f>IF(I491&lt;=60,1,0)</f>
        <v/>
      </c>
    </row>
    <row r="492">
      <c r="A492" t="n">
        <v>491</v>
      </c>
      <c r="B492" t="n">
        <v>3</v>
      </c>
      <c r="C492" t="n">
        <v>25</v>
      </c>
      <c r="D492" t="n">
        <v>1</v>
      </c>
      <c r="E492" t="n">
        <v>51</v>
      </c>
      <c r="F492" t="n">
        <v>0</v>
      </c>
      <c r="G492" t="n">
        <v>109</v>
      </c>
      <c r="H492" t="n">
        <v>0</v>
      </c>
      <c r="I492" t="n">
        <v>221</v>
      </c>
      <c r="J492" t="n">
        <v>0.401741</v>
      </c>
      <c r="K492">
        <f>RANK(J492,$J$2:$J$601,1)</f>
        <v/>
      </c>
      <c r="L492">
        <f>IF(K492&lt;=60,1,0)</f>
        <v/>
      </c>
      <c r="M492">
        <f>IF(MOD(A492-7,10)=0,1,0)</f>
        <v/>
      </c>
      <c r="N492">
        <f>COUNTIFS($B$2:$B$601,B492,$J$2:$J$601,"&lt;"&amp;J492)+1</f>
        <v/>
      </c>
      <c r="O492">
        <f>ROUND(COUNTIF($B$2:$B$601,B492)/600*60,0)</f>
        <v/>
      </c>
      <c r="P492">
        <f>IF(N492&lt;=O492,1,0)</f>
        <v/>
      </c>
      <c r="Q492">
        <f>IF(OR(C492=4,C492=15,C492=27),1,0)</f>
        <v/>
      </c>
      <c r="R492">
        <f>IF(I492&lt;=60,1,0)</f>
        <v/>
      </c>
    </row>
    <row r="493">
      <c r="A493" t="n">
        <v>492</v>
      </c>
      <c r="B493" t="n">
        <v>3</v>
      </c>
      <c r="C493" t="n">
        <v>25</v>
      </c>
      <c r="D493" t="n">
        <v>1</v>
      </c>
      <c r="E493" t="n">
        <v>76</v>
      </c>
      <c r="F493" t="n">
        <v>0</v>
      </c>
      <c r="G493" t="n">
        <v>126</v>
      </c>
      <c r="H493" t="n">
        <v>0</v>
      </c>
      <c r="I493" t="n">
        <v>38</v>
      </c>
      <c r="J493" t="n">
        <v>0.393202</v>
      </c>
      <c r="K493">
        <f>RANK(J493,$J$2:$J$601,1)</f>
        <v/>
      </c>
      <c r="L493">
        <f>IF(K493&lt;=60,1,0)</f>
        <v/>
      </c>
      <c r="M493">
        <f>IF(MOD(A493-7,10)=0,1,0)</f>
        <v/>
      </c>
      <c r="N493">
        <f>COUNTIFS($B$2:$B$601,B493,$J$2:$J$601,"&lt;"&amp;J493)+1</f>
        <v/>
      </c>
      <c r="O493">
        <f>ROUND(COUNTIF($B$2:$B$601,B493)/600*60,0)</f>
        <v/>
      </c>
      <c r="P493">
        <f>IF(N493&lt;=O493,1,0)</f>
        <v/>
      </c>
      <c r="Q493">
        <f>IF(OR(C493=4,C493=15,C493=27),1,0)</f>
        <v/>
      </c>
      <c r="R493">
        <f>IF(I493&lt;=60,1,0)</f>
        <v/>
      </c>
    </row>
    <row r="494">
      <c r="A494" t="n">
        <v>493</v>
      </c>
      <c r="B494" t="n">
        <v>3</v>
      </c>
      <c r="C494" t="n">
        <v>25</v>
      </c>
      <c r="D494" t="n">
        <v>2</v>
      </c>
      <c r="E494" t="n">
        <v>75</v>
      </c>
      <c r="F494" t="n">
        <v>1</v>
      </c>
      <c r="G494" t="n">
        <v>150</v>
      </c>
      <c r="H494" t="n">
        <v>1</v>
      </c>
      <c r="I494" t="n">
        <v>75</v>
      </c>
      <c r="J494" t="n">
        <v>0.836143</v>
      </c>
      <c r="K494">
        <f>RANK(J494,$J$2:$J$601,1)</f>
        <v/>
      </c>
      <c r="L494">
        <f>IF(K494&lt;=60,1,0)</f>
        <v/>
      </c>
      <c r="M494">
        <f>IF(MOD(A494-7,10)=0,1,0)</f>
        <v/>
      </c>
      <c r="N494">
        <f>COUNTIFS($B$2:$B$601,B494,$J$2:$J$601,"&lt;"&amp;J494)+1</f>
        <v/>
      </c>
      <c r="O494">
        <f>ROUND(COUNTIF($B$2:$B$601,B494)/600*60,0)</f>
        <v/>
      </c>
      <c r="P494">
        <f>IF(N494&lt;=O494,1,0)</f>
        <v/>
      </c>
      <c r="Q494">
        <f>IF(OR(C494=4,C494=15,C494=27),1,0)</f>
        <v/>
      </c>
      <c r="R494">
        <f>IF(I494&lt;=60,1,0)</f>
        <v/>
      </c>
    </row>
    <row r="495">
      <c r="A495" t="n">
        <v>494</v>
      </c>
      <c r="B495" t="n">
        <v>3</v>
      </c>
      <c r="C495" t="n">
        <v>25</v>
      </c>
      <c r="D495" t="n">
        <v>1</v>
      </c>
      <c r="E495" t="n">
        <v>35</v>
      </c>
      <c r="F495" t="n">
        <v>0</v>
      </c>
      <c r="G495" t="n">
        <v>122</v>
      </c>
      <c r="H495" t="n">
        <v>0</v>
      </c>
      <c r="I495" t="n">
        <v>500</v>
      </c>
      <c r="J495" t="n">
        <v>0.276826</v>
      </c>
      <c r="K495">
        <f>RANK(J495,$J$2:$J$601,1)</f>
        <v/>
      </c>
      <c r="L495">
        <f>IF(K495&lt;=60,1,0)</f>
        <v/>
      </c>
      <c r="M495">
        <f>IF(MOD(A495-7,10)=0,1,0)</f>
        <v/>
      </c>
      <c r="N495">
        <f>COUNTIFS($B$2:$B$601,B495,$J$2:$J$601,"&lt;"&amp;J495)+1</f>
        <v/>
      </c>
      <c r="O495">
        <f>ROUND(COUNTIF($B$2:$B$601,B495)/600*60,0)</f>
        <v/>
      </c>
      <c r="P495">
        <f>IF(N495&lt;=O495,1,0)</f>
        <v/>
      </c>
      <c r="Q495">
        <f>IF(OR(C495=4,C495=15,C495=27),1,0)</f>
        <v/>
      </c>
      <c r="R495">
        <f>IF(I495&lt;=60,1,0)</f>
        <v/>
      </c>
    </row>
    <row r="496">
      <c r="A496" t="n">
        <v>495</v>
      </c>
      <c r="B496" t="n">
        <v>3</v>
      </c>
      <c r="C496" t="n">
        <v>25</v>
      </c>
      <c r="D496" t="n">
        <v>2</v>
      </c>
      <c r="E496" t="n">
        <v>44</v>
      </c>
      <c r="F496" t="n">
        <v>0</v>
      </c>
      <c r="G496" t="n">
        <v>123</v>
      </c>
      <c r="H496" t="n">
        <v>0</v>
      </c>
      <c r="I496" t="n">
        <v>495</v>
      </c>
      <c r="J496" t="n">
        <v>0.971742</v>
      </c>
      <c r="K496">
        <f>RANK(J496,$J$2:$J$601,1)</f>
        <v/>
      </c>
      <c r="L496">
        <f>IF(K496&lt;=60,1,0)</f>
        <v/>
      </c>
      <c r="M496">
        <f>IF(MOD(A496-7,10)=0,1,0)</f>
        <v/>
      </c>
      <c r="N496">
        <f>COUNTIFS($B$2:$B$601,B496,$J$2:$J$601,"&lt;"&amp;J496)+1</f>
        <v/>
      </c>
      <c r="O496">
        <f>ROUND(COUNTIF($B$2:$B$601,B496)/600*60,0)</f>
        <v/>
      </c>
      <c r="P496">
        <f>IF(N496&lt;=O496,1,0)</f>
        <v/>
      </c>
      <c r="Q496">
        <f>IF(OR(C496=4,C496=15,C496=27),1,0)</f>
        <v/>
      </c>
      <c r="R496">
        <f>IF(I496&lt;=60,1,0)</f>
        <v/>
      </c>
    </row>
    <row r="497">
      <c r="A497" t="n">
        <v>496</v>
      </c>
      <c r="B497" t="n">
        <v>3</v>
      </c>
      <c r="C497" t="n">
        <v>25</v>
      </c>
      <c r="D497" t="n">
        <v>2</v>
      </c>
      <c r="E497" t="n">
        <v>46</v>
      </c>
      <c r="F497" t="n">
        <v>1</v>
      </c>
      <c r="G497" t="n">
        <v>133</v>
      </c>
      <c r="H497" t="n">
        <v>0</v>
      </c>
      <c r="I497" t="n">
        <v>410</v>
      </c>
      <c r="J497" t="n">
        <v>0.9345</v>
      </c>
      <c r="K497">
        <f>RANK(J497,$J$2:$J$601,1)</f>
        <v/>
      </c>
      <c r="L497">
        <f>IF(K497&lt;=60,1,0)</f>
        <v/>
      </c>
      <c r="M497">
        <f>IF(MOD(A497-7,10)=0,1,0)</f>
        <v/>
      </c>
      <c r="N497">
        <f>COUNTIFS($B$2:$B$601,B497,$J$2:$J$601,"&lt;"&amp;J497)+1</f>
        <v/>
      </c>
      <c r="O497">
        <f>ROUND(COUNTIF($B$2:$B$601,B497)/600*60,0)</f>
        <v/>
      </c>
      <c r="P497">
        <f>IF(N497&lt;=O497,1,0)</f>
        <v/>
      </c>
      <c r="Q497">
        <f>IF(OR(C497=4,C497=15,C497=27),1,0)</f>
        <v/>
      </c>
      <c r="R497">
        <f>IF(I497&lt;=60,1,0)</f>
        <v/>
      </c>
    </row>
    <row r="498">
      <c r="A498" t="n">
        <v>497</v>
      </c>
      <c r="B498" t="n">
        <v>3</v>
      </c>
      <c r="C498" t="n">
        <v>25</v>
      </c>
      <c r="D498" t="n">
        <v>2</v>
      </c>
      <c r="E498" t="n">
        <v>68</v>
      </c>
      <c r="F498" t="n">
        <v>0</v>
      </c>
      <c r="G498" t="n">
        <v>138</v>
      </c>
      <c r="H498" t="n">
        <v>0</v>
      </c>
      <c r="I498" t="n">
        <v>554</v>
      </c>
      <c r="J498" t="n">
        <v>0.714498</v>
      </c>
      <c r="K498">
        <f>RANK(J498,$J$2:$J$601,1)</f>
        <v/>
      </c>
      <c r="L498">
        <f>IF(K498&lt;=60,1,0)</f>
        <v/>
      </c>
      <c r="M498">
        <f>IF(MOD(A498-7,10)=0,1,0)</f>
        <v/>
      </c>
      <c r="N498">
        <f>COUNTIFS($B$2:$B$601,B498,$J$2:$J$601,"&lt;"&amp;J498)+1</f>
        <v/>
      </c>
      <c r="O498">
        <f>ROUND(COUNTIF($B$2:$B$601,B498)/600*60,0)</f>
        <v/>
      </c>
      <c r="P498">
        <f>IF(N498&lt;=O498,1,0)</f>
        <v/>
      </c>
      <c r="Q498">
        <f>IF(OR(C498=4,C498=15,C498=27),1,0)</f>
        <v/>
      </c>
      <c r="R498">
        <f>IF(I498&lt;=60,1,0)</f>
        <v/>
      </c>
    </row>
    <row r="499">
      <c r="A499" t="n">
        <v>498</v>
      </c>
      <c r="B499" t="n">
        <v>3</v>
      </c>
      <c r="C499" t="n">
        <v>25</v>
      </c>
      <c r="D499" t="n">
        <v>2</v>
      </c>
      <c r="E499" t="n">
        <v>65</v>
      </c>
      <c r="F499" t="n">
        <v>0</v>
      </c>
      <c r="G499" t="n">
        <v>124</v>
      </c>
      <c r="H499" t="n">
        <v>0</v>
      </c>
      <c r="I499" t="n">
        <v>131</v>
      </c>
      <c r="J499" t="n">
        <v>0.190717</v>
      </c>
      <c r="K499">
        <f>RANK(J499,$J$2:$J$601,1)</f>
        <v/>
      </c>
      <c r="L499">
        <f>IF(K499&lt;=60,1,0)</f>
        <v/>
      </c>
      <c r="M499">
        <f>IF(MOD(A499-7,10)=0,1,0)</f>
        <v/>
      </c>
      <c r="N499">
        <f>COUNTIFS($B$2:$B$601,B499,$J$2:$J$601,"&lt;"&amp;J499)+1</f>
        <v/>
      </c>
      <c r="O499">
        <f>ROUND(COUNTIF($B$2:$B$601,B499)/600*60,0)</f>
        <v/>
      </c>
      <c r="P499">
        <f>IF(N499&lt;=O499,1,0)</f>
        <v/>
      </c>
      <c r="Q499">
        <f>IF(OR(C499=4,C499=15,C499=27),1,0)</f>
        <v/>
      </c>
      <c r="R499">
        <f>IF(I499&lt;=60,1,0)</f>
        <v/>
      </c>
    </row>
    <row r="500">
      <c r="A500" t="n">
        <v>499</v>
      </c>
      <c r="B500" t="n">
        <v>3</v>
      </c>
      <c r="C500" t="n">
        <v>25</v>
      </c>
      <c r="D500" t="n">
        <v>1</v>
      </c>
      <c r="E500" t="n">
        <v>32</v>
      </c>
      <c r="F500" t="n">
        <v>0</v>
      </c>
      <c r="G500" t="n">
        <v>106</v>
      </c>
      <c r="H500" t="n">
        <v>0</v>
      </c>
      <c r="I500" t="n">
        <v>305</v>
      </c>
      <c r="J500" t="n">
        <v>0.99364</v>
      </c>
      <c r="K500">
        <f>RANK(J500,$J$2:$J$601,1)</f>
        <v/>
      </c>
      <c r="L500">
        <f>IF(K500&lt;=60,1,0)</f>
        <v/>
      </c>
      <c r="M500">
        <f>IF(MOD(A500-7,10)=0,1,0)</f>
        <v/>
      </c>
      <c r="N500">
        <f>COUNTIFS($B$2:$B$601,B500,$J$2:$J$601,"&lt;"&amp;J500)+1</f>
        <v/>
      </c>
      <c r="O500">
        <f>ROUND(COUNTIF($B$2:$B$601,B500)/600*60,0)</f>
        <v/>
      </c>
      <c r="P500">
        <f>IF(N500&lt;=O500,1,0)</f>
        <v/>
      </c>
      <c r="Q500">
        <f>IF(OR(C500=4,C500=15,C500=27),1,0)</f>
        <v/>
      </c>
      <c r="R500">
        <f>IF(I500&lt;=60,1,0)</f>
        <v/>
      </c>
    </row>
    <row r="501">
      <c r="A501" t="n">
        <v>500</v>
      </c>
      <c r="B501" t="n">
        <v>3</v>
      </c>
      <c r="C501" t="n">
        <v>25</v>
      </c>
      <c r="D501" t="n">
        <v>1</v>
      </c>
      <c r="E501" t="n">
        <v>43</v>
      </c>
      <c r="F501" t="n">
        <v>0</v>
      </c>
      <c r="G501" t="n">
        <v>121</v>
      </c>
      <c r="H501" t="n">
        <v>0</v>
      </c>
      <c r="I501" t="n">
        <v>571</v>
      </c>
      <c r="J501" t="n">
        <v>0.082971</v>
      </c>
      <c r="K501">
        <f>RANK(J501,$J$2:$J$601,1)</f>
        <v/>
      </c>
      <c r="L501">
        <f>IF(K501&lt;=60,1,0)</f>
        <v/>
      </c>
      <c r="M501">
        <f>IF(MOD(A501-7,10)=0,1,0)</f>
        <v/>
      </c>
      <c r="N501">
        <f>COUNTIFS($B$2:$B$601,B501,$J$2:$J$601,"&lt;"&amp;J501)+1</f>
        <v/>
      </c>
      <c r="O501">
        <f>ROUND(COUNTIF($B$2:$B$601,B501)/600*60,0)</f>
        <v/>
      </c>
      <c r="P501">
        <f>IF(N501&lt;=O501,1,0)</f>
        <v/>
      </c>
      <c r="Q501">
        <f>IF(OR(C501=4,C501=15,C501=27),1,0)</f>
        <v/>
      </c>
      <c r="R501">
        <f>IF(I501&lt;=60,1,0)</f>
        <v/>
      </c>
    </row>
    <row r="502">
      <c r="A502" t="n">
        <v>501</v>
      </c>
      <c r="B502" t="n">
        <v>4</v>
      </c>
      <c r="C502" t="n">
        <v>26</v>
      </c>
      <c r="D502" t="n">
        <v>1</v>
      </c>
      <c r="E502" t="n">
        <v>54</v>
      </c>
      <c r="F502" t="n">
        <v>1</v>
      </c>
      <c r="G502" t="n">
        <v>142</v>
      </c>
      <c r="H502" t="n">
        <v>1</v>
      </c>
      <c r="I502" t="n">
        <v>108</v>
      </c>
      <c r="J502" t="n">
        <v>0.200654</v>
      </c>
      <c r="K502">
        <f>RANK(J502,$J$2:$J$601,1)</f>
        <v/>
      </c>
      <c r="L502">
        <f>IF(K502&lt;=60,1,0)</f>
        <v/>
      </c>
      <c r="M502">
        <f>IF(MOD(A502-7,10)=0,1,0)</f>
        <v/>
      </c>
      <c r="N502">
        <f>COUNTIFS($B$2:$B$601,B502,$J$2:$J$601,"&lt;"&amp;J502)+1</f>
        <v/>
      </c>
      <c r="O502">
        <f>ROUND(COUNTIF($B$2:$B$601,B502)/600*60,0)</f>
        <v/>
      </c>
      <c r="P502">
        <f>IF(N502&lt;=O502,1,0)</f>
        <v/>
      </c>
      <c r="Q502">
        <f>IF(OR(C502=4,C502=15,C502=27),1,0)</f>
        <v/>
      </c>
      <c r="R502">
        <f>IF(I502&lt;=60,1,0)</f>
        <v/>
      </c>
    </row>
    <row r="503">
      <c r="A503" t="n">
        <v>502</v>
      </c>
      <c r="B503" t="n">
        <v>4</v>
      </c>
      <c r="C503" t="n">
        <v>26</v>
      </c>
      <c r="D503" t="n">
        <v>2</v>
      </c>
      <c r="E503" t="n">
        <v>72</v>
      </c>
      <c r="F503" t="n">
        <v>0</v>
      </c>
      <c r="G503" t="n">
        <v>134</v>
      </c>
      <c r="H503" t="n">
        <v>0</v>
      </c>
      <c r="I503" t="n">
        <v>151</v>
      </c>
      <c r="J503" t="n">
        <v>0.028165</v>
      </c>
      <c r="K503">
        <f>RANK(J503,$J$2:$J$601,1)</f>
        <v/>
      </c>
      <c r="L503">
        <f>IF(K503&lt;=60,1,0)</f>
        <v/>
      </c>
      <c r="M503">
        <f>IF(MOD(A503-7,10)=0,1,0)</f>
        <v/>
      </c>
      <c r="N503">
        <f>COUNTIFS($B$2:$B$601,B503,$J$2:$J$601,"&lt;"&amp;J503)+1</f>
        <v/>
      </c>
      <c r="O503">
        <f>ROUND(COUNTIF($B$2:$B$601,B503)/600*60,0)</f>
        <v/>
      </c>
      <c r="P503">
        <f>IF(N503&lt;=O503,1,0)</f>
        <v/>
      </c>
      <c r="Q503">
        <f>IF(OR(C503=4,C503=15,C503=27),1,0)</f>
        <v/>
      </c>
      <c r="R503">
        <f>IF(I503&lt;=60,1,0)</f>
        <v/>
      </c>
    </row>
    <row r="504">
      <c r="A504" t="n">
        <v>503</v>
      </c>
      <c r="B504" t="n">
        <v>4</v>
      </c>
      <c r="C504" t="n">
        <v>26</v>
      </c>
      <c r="D504" t="n">
        <v>1</v>
      </c>
      <c r="E504" t="n">
        <v>36</v>
      </c>
      <c r="F504" t="n">
        <v>0</v>
      </c>
      <c r="G504" t="n">
        <v>104</v>
      </c>
      <c r="H504" t="n">
        <v>0</v>
      </c>
      <c r="I504" t="n">
        <v>309</v>
      </c>
      <c r="J504" t="n">
        <v>0.750731</v>
      </c>
      <c r="K504">
        <f>RANK(J504,$J$2:$J$601,1)</f>
        <v/>
      </c>
      <c r="L504">
        <f>IF(K504&lt;=60,1,0)</f>
        <v/>
      </c>
      <c r="M504">
        <f>IF(MOD(A504-7,10)=0,1,0)</f>
        <v/>
      </c>
      <c r="N504">
        <f>COUNTIFS($B$2:$B$601,B504,$J$2:$J$601,"&lt;"&amp;J504)+1</f>
        <v/>
      </c>
      <c r="O504">
        <f>ROUND(COUNTIF($B$2:$B$601,B504)/600*60,0)</f>
        <v/>
      </c>
      <c r="P504">
        <f>IF(N504&lt;=O504,1,0)</f>
        <v/>
      </c>
      <c r="Q504">
        <f>IF(OR(C504=4,C504=15,C504=27),1,0)</f>
        <v/>
      </c>
      <c r="R504">
        <f>IF(I504&lt;=60,1,0)</f>
        <v/>
      </c>
    </row>
    <row r="505">
      <c r="A505" t="n">
        <v>504</v>
      </c>
      <c r="B505" t="n">
        <v>4</v>
      </c>
      <c r="C505" t="n">
        <v>26</v>
      </c>
      <c r="D505" t="n">
        <v>2</v>
      </c>
      <c r="E505" t="n">
        <v>32</v>
      </c>
      <c r="F505" t="n">
        <v>0</v>
      </c>
      <c r="G505" t="n">
        <v>104</v>
      </c>
      <c r="H505" t="n">
        <v>0</v>
      </c>
      <c r="I505" t="n">
        <v>600</v>
      </c>
      <c r="J505" t="n">
        <v>0.767575</v>
      </c>
      <c r="K505">
        <f>RANK(J505,$J$2:$J$601,1)</f>
        <v/>
      </c>
      <c r="L505">
        <f>IF(K505&lt;=60,1,0)</f>
        <v/>
      </c>
      <c r="M505">
        <f>IF(MOD(A505-7,10)=0,1,0)</f>
        <v/>
      </c>
      <c r="N505">
        <f>COUNTIFS($B$2:$B$601,B505,$J$2:$J$601,"&lt;"&amp;J505)+1</f>
        <v/>
      </c>
      <c r="O505">
        <f>ROUND(COUNTIF($B$2:$B$601,B505)/600*60,0)</f>
        <v/>
      </c>
      <c r="P505">
        <f>IF(N505&lt;=O505,1,0)</f>
        <v/>
      </c>
      <c r="Q505">
        <f>IF(OR(C505=4,C505=15,C505=27),1,0)</f>
        <v/>
      </c>
      <c r="R505">
        <f>IF(I505&lt;=60,1,0)</f>
        <v/>
      </c>
    </row>
    <row r="506">
      <c r="A506" t="n">
        <v>505</v>
      </c>
      <c r="B506" t="n">
        <v>4</v>
      </c>
      <c r="C506" t="n">
        <v>26</v>
      </c>
      <c r="D506" t="n">
        <v>2</v>
      </c>
      <c r="E506" t="n">
        <v>71</v>
      </c>
      <c r="F506" t="n">
        <v>0</v>
      </c>
      <c r="G506" t="n">
        <v>123</v>
      </c>
      <c r="H506" t="n">
        <v>0</v>
      </c>
      <c r="I506" t="n">
        <v>296</v>
      </c>
      <c r="J506" t="n">
        <v>0.158004</v>
      </c>
      <c r="K506">
        <f>RANK(J506,$J$2:$J$601,1)</f>
        <v/>
      </c>
      <c r="L506">
        <f>IF(K506&lt;=60,1,0)</f>
        <v/>
      </c>
      <c r="M506">
        <f>IF(MOD(A506-7,10)=0,1,0)</f>
        <v/>
      </c>
      <c r="N506">
        <f>COUNTIFS($B$2:$B$601,B506,$J$2:$J$601,"&lt;"&amp;J506)+1</f>
        <v/>
      </c>
      <c r="O506">
        <f>ROUND(COUNTIF($B$2:$B$601,B506)/600*60,0)</f>
        <v/>
      </c>
      <c r="P506">
        <f>IF(N506&lt;=O506,1,0)</f>
        <v/>
      </c>
      <c r="Q506">
        <f>IF(OR(C506=4,C506=15,C506=27),1,0)</f>
        <v/>
      </c>
      <c r="R506">
        <f>IF(I506&lt;=60,1,0)</f>
        <v/>
      </c>
    </row>
    <row r="507">
      <c r="A507" t="n">
        <v>506</v>
      </c>
      <c r="B507" t="n">
        <v>4</v>
      </c>
      <c r="C507" t="n">
        <v>26</v>
      </c>
      <c r="D507" t="n">
        <v>2</v>
      </c>
      <c r="E507" t="n">
        <v>66</v>
      </c>
      <c r="F507" t="n">
        <v>0</v>
      </c>
      <c r="G507" t="n">
        <v>138</v>
      </c>
      <c r="H507" t="n">
        <v>0</v>
      </c>
      <c r="I507" t="n">
        <v>339</v>
      </c>
      <c r="J507" t="n">
        <v>0.371922</v>
      </c>
      <c r="K507">
        <f>RANK(J507,$J$2:$J$601,1)</f>
        <v/>
      </c>
      <c r="L507">
        <f>IF(K507&lt;=60,1,0)</f>
        <v/>
      </c>
      <c r="M507">
        <f>IF(MOD(A507-7,10)=0,1,0)</f>
        <v/>
      </c>
      <c r="N507">
        <f>COUNTIFS($B$2:$B$601,B507,$J$2:$J$601,"&lt;"&amp;J507)+1</f>
        <v/>
      </c>
      <c r="O507">
        <f>ROUND(COUNTIF($B$2:$B$601,B507)/600*60,0)</f>
        <v/>
      </c>
      <c r="P507">
        <f>IF(N507&lt;=O507,1,0)</f>
        <v/>
      </c>
      <c r="Q507">
        <f>IF(OR(C507=4,C507=15,C507=27),1,0)</f>
        <v/>
      </c>
      <c r="R507">
        <f>IF(I507&lt;=60,1,0)</f>
        <v/>
      </c>
    </row>
    <row r="508">
      <c r="A508" t="n">
        <v>507</v>
      </c>
      <c r="B508" t="n">
        <v>4</v>
      </c>
      <c r="C508" t="n">
        <v>26</v>
      </c>
      <c r="D508" t="n">
        <v>1</v>
      </c>
      <c r="E508" t="n">
        <v>34</v>
      </c>
      <c r="F508" t="n">
        <v>0</v>
      </c>
      <c r="G508" t="n">
        <v>120</v>
      </c>
      <c r="H508" t="n">
        <v>0</v>
      </c>
      <c r="I508" t="n">
        <v>550</v>
      </c>
      <c r="J508" t="n">
        <v>0.09868200000000001</v>
      </c>
      <c r="K508">
        <f>RANK(J508,$J$2:$J$601,1)</f>
        <v/>
      </c>
      <c r="L508">
        <f>IF(K508&lt;=60,1,0)</f>
        <v/>
      </c>
      <c r="M508">
        <f>IF(MOD(A508-7,10)=0,1,0)</f>
        <v/>
      </c>
      <c r="N508">
        <f>COUNTIFS($B$2:$B$601,B508,$J$2:$J$601,"&lt;"&amp;J508)+1</f>
        <v/>
      </c>
      <c r="O508">
        <f>ROUND(COUNTIF($B$2:$B$601,B508)/600*60,0)</f>
        <v/>
      </c>
      <c r="P508">
        <f>IF(N508&lt;=O508,1,0)</f>
        <v/>
      </c>
      <c r="Q508">
        <f>IF(OR(C508=4,C508=15,C508=27),1,0)</f>
        <v/>
      </c>
      <c r="R508">
        <f>IF(I508&lt;=60,1,0)</f>
        <v/>
      </c>
    </row>
    <row r="509">
      <c r="A509" t="n">
        <v>508</v>
      </c>
      <c r="B509" t="n">
        <v>4</v>
      </c>
      <c r="C509" t="n">
        <v>26</v>
      </c>
      <c r="D509" t="n">
        <v>1</v>
      </c>
      <c r="E509" t="n">
        <v>72</v>
      </c>
      <c r="F509" t="n">
        <v>1</v>
      </c>
      <c r="G509" t="n">
        <v>117</v>
      </c>
      <c r="H509" t="n">
        <v>0</v>
      </c>
      <c r="I509" t="n">
        <v>407</v>
      </c>
      <c r="J509" t="n">
        <v>0.09637</v>
      </c>
      <c r="K509">
        <f>RANK(J509,$J$2:$J$601,1)</f>
        <v/>
      </c>
      <c r="L509">
        <f>IF(K509&lt;=60,1,0)</f>
        <v/>
      </c>
      <c r="M509">
        <f>IF(MOD(A509-7,10)=0,1,0)</f>
        <v/>
      </c>
      <c r="N509">
        <f>COUNTIFS($B$2:$B$601,B509,$J$2:$J$601,"&lt;"&amp;J509)+1</f>
        <v/>
      </c>
      <c r="O509">
        <f>ROUND(COUNTIF($B$2:$B$601,B509)/600*60,0)</f>
        <v/>
      </c>
      <c r="P509">
        <f>IF(N509&lt;=O509,1,0)</f>
        <v/>
      </c>
      <c r="Q509">
        <f>IF(OR(C509=4,C509=15,C509=27),1,0)</f>
        <v/>
      </c>
      <c r="R509">
        <f>IF(I509&lt;=60,1,0)</f>
        <v/>
      </c>
    </row>
    <row r="510">
      <c r="A510" t="n">
        <v>509</v>
      </c>
      <c r="B510" t="n">
        <v>4</v>
      </c>
      <c r="C510" t="n">
        <v>26</v>
      </c>
      <c r="D510" t="n">
        <v>1</v>
      </c>
      <c r="E510" t="n">
        <v>34</v>
      </c>
      <c r="F510" t="n">
        <v>0</v>
      </c>
      <c r="G510" t="n">
        <v>116</v>
      </c>
      <c r="H510" t="n">
        <v>0</v>
      </c>
      <c r="I510" t="n">
        <v>480</v>
      </c>
      <c r="J510" t="n">
        <v>0.317115</v>
      </c>
      <c r="K510">
        <f>RANK(J510,$J$2:$J$601,1)</f>
        <v/>
      </c>
      <c r="L510">
        <f>IF(K510&lt;=60,1,0)</f>
        <v/>
      </c>
      <c r="M510">
        <f>IF(MOD(A510-7,10)=0,1,0)</f>
        <v/>
      </c>
      <c r="N510">
        <f>COUNTIFS($B$2:$B$601,B510,$J$2:$J$601,"&lt;"&amp;J510)+1</f>
        <v/>
      </c>
      <c r="O510">
        <f>ROUND(COUNTIF($B$2:$B$601,B510)/600*60,0)</f>
        <v/>
      </c>
      <c r="P510">
        <f>IF(N510&lt;=O510,1,0)</f>
        <v/>
      </c>
      <c r="Q510">
        <f>IF(OR(C510=4,C510=15,C510=27),1,0)</f>
        <v/>
      </c>
      <c r="R510">
        <f>IF(I510&lt;=60,1,0)</f>
        <v/>
      </c>
    </row>
    <row r="511">
      <c r="A511" t="n">
        <v>510</v>
      </c>
      <c r="B511" t="n">
        <v>4</v>
      </c>
      <c r="C511" t="n">
        <v>26</v>
      </c>
      <c r="D511" t="n">
        <v>2</v>
      </c>
      <c r="E511" t="n">
        <v>74</v>
      </c>
      <c r="F511" t="n">
        <v>0</v>
      </c>
      <c r="G511" t="n">
        <v>144</v>
      </c>
      <c r="H511" t="n">
        <v>1</v>
      </c>
      <c r="I511" t="n">
        <v>203</v>
      </c>
      <c r="J511" t="n">
        <v>0.509277</v>
      </c>
      <c r="K511">
        <f>RANK(J511,$J$2:$J$601,1)</f>
        <v/>
      </c>
      <c r="L511">
        <f>IF(K511&lt;=60,1,0)</f>
        <v/>
      </c>
      <c r="M511">
        <f>IF(MOD(A511-7,10)=0,1,0)</f>
        <v/>
      </c>
      <c r="N511">
        <f>COUNTIFS($B$2:$B$601,B511,$J$2:$J$601,"&lt;"&amp;J511)+1</f>
        <v/>
      </c>
      <c r="O511">
        <f>ROUND(COUNTIF($B$2:$B$601,B511)/600*60,0)</f>
        <v/>
      </c>
      <c r="P511">
        <f>IF(N511&lt;=O511,1,0)</f>
        <v/>
      </c>
      <c r="Q511">
        <f>IF(OR(C511=4,C511=15,C511=27),1,0)</f>
        <v/>
      </c>
      <c r="R511">
        <f>IF(I511&lt;=60,1,0)</f>
        <v/>
      </c>
    </row>
    <row r="512">
      <c r="A512" t="n">
        <v>511</v>
      </c>
      <c r="B512" t="n">
        <v>4</v>
      </c>
      <c r="C512" t="n">
        <v>26</v>
      </c>
      <c r="D512" t="n">
        <v>1</v>
      </c>
      <c r="E512" t="n">
        <v>59</v>
      </c>
      <c r="F512" t="n">
        <v>0</v>
      </c>
      <c r="G512" t="n">
        <v>123</v>
      </c>
      <c r="H512" t="n">
        <v>0</v>
      </c>
      <c r="I512" t="n">
        <v>522</v>
      </c>
      <c r="J512" t="n">
        <v>0.092345</v>
      </c>
      <c r="K512">
        <f>RANK(J512,$J$2:$J$601,1)</f>
        <v/>
      </c>
      <c r="L512">
        <f>IF(K512&lt;=60,1,0)</f>
        <v/>
      </c>
      <c r="M512">
        <f>IF(MOD(A512-7,10)=0,1,0)</f>
        <v/>
      </c>
      <c r="N512">
        <f>COUNTIFS($B$2:$B$601,B512,$J$2:$J$601,"&lt;"&amp;J512)+1</f>
        <v/>
      </c>
      <c r="O512">
        <f>ROUND(COUNTIF($B$2:$B$601,B512)/600*60,0)</f>
        <v/>
      </c>
      <c r="P512">
        <f>IF(N512&lt;=O512,1,0)</f>
        <v/>
      </c>
      <c r="Q512">
        <f>IF(OR(C512=4,C512=15,C512=27),1,0)</f>
        <v/>
      </c>
      <c r="R512">
        <f>IF(I512&lt;=60,1,0)</f>
        <v/>
      </c>
    </row>
    <row r="513">
      <c r="A513" t="n">
        <v>512</v>
      </c>
      <c r="B513" t="n">
        <v>4</v>
      </c>
      <c r="C513" t="n">
        <v>26</v>
      </c>
      <c r="D513" t="n">
        <v>2</v>
      </c>
      <c r="E513" t="n">
        <v>59</v>
      </c>
      <c r="F513" t="n">
        <v>0</v>
      </c>
      <c r="G513" t="n">
        <v>122</v>
      </c>
      <c r="H513" t="n">
        <v>0</v>
      </c>
      <c r="I513" t="n">
        <v>490</v>
      </c>
      <c r="J513" t="n">
        <v>0.928546</v>
      </c>
      <c r="K513">
        <f>RANK(J513,$J$2:$J$601,1)</f>
        <v/>
      </c>
      <c r="L513">
        <f>IF(K513&lt;=60,1,0)</f>
        <v/>
      </c>
      <c r="M513">
        <f>IF(MOD(A513-7,10)=0,1,0)</f>
        <v/>
      </c>
      <c r="N513">
        <f>COUNTIFS($B$2:$B$601,B513,$J$2:$J$601,"&lt;"&amp;J513)+1</f>
        <v/>
      </c>
      <c r="O513">
        <f>ROUND(COUNTIF($B$2:$B$601,B513)/600*60,0)</f>
        <v/>
      </c>
      <c r="P513">
        <f>IF(N513&lt;=O513,1,0)</f>
        <v/>
      </c>
      <c r="Q513">
        <f>IF(OR(C513=4,C513=15,C513=27),1,0)</f>
        <v/>
      </c>
      <c r="R513">
        <f>IF(I513&lt;=60,1,0)</f>
        <v/>
      </c>
    </row>
    <row r="514">
      <c r="A514" t="n">
        <v>513</v>
      </c>
      <c r="B514" t="n">
        <v>4</v>
      </c>
      <c r="C514" t="n">
        <v>26</v>
      </c>
      <c r="D514" t="n">
        <v>2</v>
      </c>
      <c r="E514" t="n">
        <v>75</v>
      </c>
      <c r="F514" t="n">
        <v>0</v>
      </c>
      <c r="G514" t="n">
        <v>143</v>
      </c>
      <c r="H514" t="n">
        <v>1</v>
      </c>
      <c r="I514" t="n">
        <v>6</v>
      </c>
      <c r="J514" t="n">
        <v>0.450059</v>
      </c>
      <c r="K514">
        <f>RANK(J514,$J$2:$J$601,1)</f>
        <v/>
      </c>
      <c r="L514">
        <f>IF(K514&lt;=60,1,0)</f>
        <v/>
      </c>
      <c r="M514">
        <f>IF(MOD(A514-7,10)=0,1,0)</f>
        <v/>
      </c>
      <c r="N514">
        <f>COUNTIFS($B$2:$B$601,B514,$J$2:$J$601,"&lt;"&amp;J514)+1</f>
        <v/>
      </c>
      <c r="O514">
        <f>ROUND(COUNTIF($B$2:$B$601,B514)/600*60,0)</f>
        <v/>
      </c>
      <c r="P514">
        <f>IF(N514&lt;=O514,1,0)</f>
        <v/>
      </c>
      <c r="Q514">
        <f>IF(OR(C514=4,C514=15,C514=27),1,0)</f>
        <v/>
      </c>
      <c r="R514">
        <f>IF(I514&lt;=60,1,0)</f>
        <v/>
      </c>
    </row>
    <row r="515">
      <c r="A515" t="n">
        <v>514</v>
      </c>
      <c r="B515" t="n">
        <v>4</v>
      </c>
      <c r="C515" t="n">
        <v>26</v>
      </c>
      <c r="D515" t="n">
        <v>2</v>
      </c>
      <c r="E515" t="n">
        <v>69</v>
      </c>
      <c r="F515" t="n">
        <v>1</v>
      </c>
      <c r="G515" t="n">
        <v>141</v>
      </c>
      <c r="H515" t="n">
        <v>1</v>
      </c>
      <c r="I515" t="n">
        <v>16</v>
      </c>
      <c r="J515" t="n">
        <v>0.383678</v>
      </c>
      <c r="K515">
        <f>RANK(J515,$J$2:$J$601,1)</f>
        <v/>
      </c>
      <c r="L515">
        <f>IF(K515&lt;=60,1,0)</f>
        <v/>
      </c>
      <c r="M515">
        <f>IF(MOD(A515-7,10)=0,1,0)</f>
        <v/>
      </c>
      <c r="N515">
        <f>COUNTIFS($B$2:$B$601,B515,$J$2:$J$601,"&lt;"&amp;J515)+1</f>
        <v/>
      </c>
      <c r="O515">
        <f>ROUND(COUNTIF($B$2:$B$601,B515)/600*60,0)</f>
        <v/>
      </c>
      <c r="P515">
        <f>IF(N515&lt;=O515,1,0)</f>
        <v/>
      </c>
      <c r="Q515">
        <f>IF(OR(C515=4,C515=15,C515=27),1,0)</f>
        <v/>
      </c>
      <c r="R515">
        <f>IF(I515&lt;=60,1,0)</f>
        <v/>
      </c>
    </row>
    <row r="516">
      <c r="A516" t="n">
        <v>515</v>
      </c>
      <c r="B516" t="n">
        <v>4</v>
      </c>
      <c r="C516" t="n">
        <v>26</v>
      </c>
      <c r="D516" t="n">
        <v>2</v>
      </c>
      <c r="E516" t="n">
        <v>67</v>
      </c>
      <c r="F516" t="n">
        <v>0</v>
      </c>
      <c r="G516" t="n">
        <v>119</v>
      </c>
      <c r="H516" t="n">
        <v>0</v>
      </c>
      <c r="I516" t="n">
        <v>277</v>
      </c>
      <c r="J516" t="n">
        <v>0.901553</v>
      </c>
      <c r="K516">
        <f>RANK(J516,$J$2:$J$601,1)</f>
        <v/>
      </c>
      <c r="L516">
        <f>IF(K516&lt;=60,1,0)</f>
        <v/>
      </c>
      <c r="M516">
        <f>IF(MOD(A516-7,10)=0,1,0)</f>
        <v/>
      </c>
      <c r="N516">
        <f>COUNTIFS($B$2:$B$601,B516,$J$2:$J$601,"&lt;"&amp;J516)+1</f>
        <v/>
      </c>
      <c r="O516">
        <f>ROUND(COUNTIF($B$2:$B$601,B516)/600*60,0)</f>
        <v/>
      </c>
      <c r="P516">
        <f>IF(N516&lt;=O516,1,0)</f>
        <v/>
      </c>
      <c r="Q516">
        <f>IF(OR(C516=4,C516=15,C516=27),1,0)</f>
        <v/>
      </c>
      <c r="R516">
        <f>IF(I516&lt;=60,1,0)</f>
        <v/>
      </c>
    </row>
    <row r="517">
      <c r="A517" t="n">
        <v>516</v>
      </c>
      <c r="B517" t="n">
        <v>4</v>
      </c>
      <c r="C517" t="n">
        <v>26</v>
      </c>
      <c r="D517" t="n">
        <v>2</v>
      </c>
      <c r="E517" t="n">
        <v>65</v>
      </c>
      <c r="F517" t="n">
        <v>0</v>
      </c>
      <c r="G517" t="n">
        <v>118</v>
      </c>
      <c r="H517" t="n">
        <v>0</v>
      </c>
      <c r="I517" t="n">
        <v>520</v>
      </c>
      <c r="J517" t="n">
        <v>0.367213</v>
      </c>
      <c r="K517">
        <f>RANK(J517,$J$2:$J$601,1)</f>
        <v/>
      </c>
      <c r="L517">
        <f>IF(K517&lt;=60,1,0)</f>
        <v/>
      </c>
      <c r="M517">
        <f>IF(MOD(A517-7,10)=0,1,0)</f>
        <v/>
      </c>
      <c r="N517">
        <f>COUNTIFS($B$2:$B$601,B517,$J$2:$J$601,"&lt;"&amp;J517)+1</f>
        <v/>
      </c>
      <c r="O517">
        <f>ROUND(COUNTIF($B$2:$B$601,B517)/600*60,0)</f>
        <v/>
      </c>
      <c r="P517">
        <f>IF(N517&lt;=O517,1,0)</f>
        <v/>
      </c>
      <c r="Q517">
        <f>IF(OR(C517=4,C517=15,C517=27),1,0)</f>
        <v/>
      </c>
      <c r="R517">
        <f>IF(I517&lt;=60,1,0)</f>
        <v/>
      </c>
    </row>
    <row r="518">
      <c r="A518" t="n">
        <v>517</v>
      </c>
      <c r="B518" t="n">
        <v>4</v>
      </c>
      <c r="C518" t="n">
        <v>26</v>
      </c>
      <c r="D518" t="n">
        <v>2</v>
      </c>
      <c r="E518" t="n">
        <v>40</v>
      </c>
      <c r="F518" t="n">
        <v>0</v>
      </c>
      <c r="G518" t="n">
        <v>129</v>
      </c>
      <c r="H518" t="n">
        <v>0</v>
      </c>
      <c r="I518" t="n">
        <v>256</v>
      </c>
      <c r="J518" t="n">
        <v>0.7411759999999999</v>
      </c>
      <c r="K518">
        <f>RANK(J518,$J$2:$J$601,1)</f>
        <v/>
      </c>
      <c r="L518">
        <f>IF(K518&lt;=60,1,0)</f>
        <v/>
      </c>
      <c r="M518">
        <f>IF(MOD(A518-7,10)=0,1,0)</f>
        <v/>
      </c>
      <c r="N518">
        <f>COUNTIFS($B$2:$B$601,B518,$J$2:$J$601,"&lt;"&amp;J518)+1</f>
        <v/>
      </c>
      <c r="O518">
        <f>ROUND(COUNTIF($B$2:$B$601,B518)/600*60,0)</f>
        <v/>
      </c>
      <c r="P518">
        <f>IF(N518&lt;=O518,1,0)</f>
        <v/>
      </c>
      <c r="Q518">
        <f>IF(OR(C518=4,C518=15,C518=27),1,0)</f>
        <v/>
      </c>
      <c r="R518">
        <f>IF(I518&lt;=60,1,0)</f>
        <v/>
      </c>
    </row>
    <row r="519">
      <c r="A519" t="n">
        <v>518</v>
      </c>
      <c r="B519" t="n">
        <v>4</v>
      </c>
      <c r="C519" t="n">
        <v>26</v>
      </c>
      <c r="D519" t="n">
        <v>2</v>
      </c>
      <c r="E519" t="n">
        <v>74</v>
      </c>
      <c r="F519" t="n">
        <v>0</v>
      </c>
      <c r="G519" t="n">
        <v>137</v>
      </c>
      <c r="H519" t="n">
        <v>0</v>
      </c>
      <c r="I519" t="n">
        <v>465</v>
      </c>
      <c r="J519" t="n">
        <v>0.249636</v>
      </c>
      <c r="K519">
        <f>RANK(J519,$J$2:$J$601,1)</f>
        <v/>
      </c>
      <c r="L519">
        <f>IF(K519&lt;=60,1,0)</f>
        <v/>
      </c>
      <c r="M519">
        <f>IF(MOD(A519-7,10)=0,1,0)</f>
        <v/>
      </c>
      <c r="N519">
        <f>COUNTIFS($B$2:$B$601,B519,$J$2:$J$601,"&lt;"&amp;J519)+1</f>
        <v/>
      </c>
      <c r="O519">
        <f>ROUND(COUNTIF($B$2:$B$601,B519)/600*60,0)</f>
        <v/>
      </c>
      <c r="P519">
        <f>IF(N519&lt;=O519,1,0)</f>
        <v/>
      </c>
      <c r="Q519">
        <f>IF(OR(C519=4,C519=15,C519=27),1,0)</f>
        <v/>
      </c>
      <c r="R519">
        <f>IF(I519&lt;=60,1,0)</f>
        <v/>
      </c>
    </row>
    <row r="520">
      <c r="A520" t="n">
        <v>519</v>
      </c>
      <c r="B520" t="n">
        <v>4</v>
      </c>
      <c r="C520" t="n">
        <v>26</v>
      </c>
      <c r="D520" t="n">
        <v>2</v>
      </c>
      <c r="E520" t="n">
        <v>49</v>
      </c>
      <c r="F520" t="n">
        <v>0</v>
      </c>
      <c r="G520" t="n">
        <v>104</v>
      </c>
      <c r="H520" t="n">
        <v>0</v>
      </c>
      <c r="I520" t="n">
        <v>533</v>
      </c>
      <c r="J520" t="n">
        <v>0.02965</v>
      </c>
      <c r="K520">
        <f>RANK(J520,$J$2:$J$601,1)</f>
        <v/>
      </c>
      <c r="L520">
        <f>IF(K520&lt;=60,1,0)</f>
        <v/>
      </c>
      <c r="M520">
        <f>IF(MOD(A520-7,10)=0,1,0)</f>
        <v/>
      </c>
      <c r="N520">
        <f>COUNTIFS($B$2:$B$601,B520,$J$2:$J$601,"&lt;"&amp;J520)+1</f>
        <v/>
      </c>
      <c r="O520">
        <f>ROUND(COUNTIF($B$2:$B$601,B520)/600*60,0)</f>
        <v/>
      </c>
      <c r="P520">
        <f>IF(N520&lt;=O520,1,0)</f>
        <v/>
      </c>
      <c r="Q520">
        <f>IF(OR(C520=4,C520=15,C520=27),1,0)</f>
        <v/>
      </c>
      <c r="R520">
        <f>IF(I520&lt;=60,1,0)</f>
        <v/>
      </c>
    </row>
    <row r="521">
      <c r="A521" t="n">
        <v>520</v>
      </c>
      <c r="B521" t="n">
        <v>4</v>
      </c>
      <c r="C521" t="n">
        <v>26</v>
      </c>
      <c r="D521" t="n">
        <v>1</v>
      </c>
      <c r="E521" t="n">
        <v>33</v>
      </c>
      <c r="F521" t="n">
        <v>0</v>
      </c>
      <c r="G521" t="n">
        <v>117</v>
      </c>
      <c r="H521" t="n">
        <v>0</v>
      </c>
      <c r="I521" t="n">
        <v>361</v>
      </c>
      <c r="J521" t="n">
        <v>0.748914</v>
      </c>
      <c r="K521">
        <f>RANK(J521,$J$2:$J$601,1)</f>
        <v/>
      </c>
      <c r="L521">
        <f>IF(K521&lt;=60,1,0)</f>
        <v/>
      </c>
      <c r="M521">
        <f>IF(MOD(A521-7,10)=0,1,0)</f>
        <v/>
      </c>
      <c r="N521">
        <f>COUNTIFS($B$2:$B$601,B521,$J$2:$J$601,"&lt;"&amp;J521)+1</f>
        <v/>
      </c>
      <c r="O521">
        <f>ROUND(COUNTIF($B$2:$B$601,B521)/600*60,0)</f>
        <v/>
      </c>
      <c r="P521">
        <f>IF(N521&lt;=O521,1,0)</f>
        <v/>
      </c>
      <c r="Q521">
        <f>IF(OR(C521=4,C521=15,C521=27),1,0)</f>
        <v/>
      </c>
      <c r="R521">
        <f>IF(I521&lt;=60,1,0)</f>
        <v/>
      </c>
    </row>
    <row r="522">
      <c r="A522" t="n">
        <v>521</v>
      </c>
      <c r="B522" t="n">
        <v>4</v>
      </c>
      <c r="C522" t="n">
        <v>27</v>
      </c>
      <c r="D522" t="n">
        <v>1</v>
      </c>
      <c r="E522" t="n">
        <v>42</v>
      </c>
      <c r="F522" t="n">
        <v>0</v>
      </c>
      <c r="G522" t="n">
        <v>101</v>
      </c>
      <c r="H522" t="n">
        <v>0</v>
      </c>
      <c r="I522" t="n">
        <v>502</v>
      </c>
      <c r="J522" t="n">
        <v>0.066577</v>
      </c>
      <c r="K522">
        <f>RANK(J522,$J$2:$J$601,1)</f>
        <v/>
      </c>
      <c r="L522">
        <f>IF(K522&lt;=60,1,0)</f>
        <v/>
      </c>
      <c r="M522">
        <f>IF(MOD(A522-7,10)=0,1,0)</f>
        <v/>
      </c>
      <c r="N522">
        <f>COUNTIFS($B$2:$B$601,B522,$J$2:$J$601,"&lt;"&amp;J522)+1</f>
        <v/>
      </c>
      <c r="O522">
        <f>ROUND(COUNTIF($B$2:$B$601,B522)/600*60,0)</f>
        <v/>
      </c>
      <c r="P522">
        <f>IF(N522&lt;=O522,1,0)</f>
        <v/>
      </c>
      <c r="Q522">
        <f>IF(OR(C522=4,C522=15,C522=27),1,0)</f>
        <v/>
      </c>
      <c r="R522">
        <f>IF(I522&lt;=60,1,0)</f>
        <v/>
      </c>
    </row>
    <row r="523">
      <c r="A523" t="n">
        <v>522</v>
      </c>
      <c r="B523" t="n">
        <v>4</v>
      </c>
      <c r="C523" t="n">
        <v>27</v>
      </c>
      <c r="D523" t="n">
        <v>2</v>
      </c>
      <c r="E523" t="n">
        <v>30</v>
      </c>
      <c r="F523" t="n">
        <v>0</v>
      </c>
      <c r="G523" t="n">
        <v>104</v>
      </c>
      <c r="H523" t="n">
        <v>0</v>
      </c>
      <c r="I523" t="n">
        <v>315</v>
      </c>
      <c r="J523" t="n">
        <v>0.342135</v>
      </c>
      <c r="K523">
        <f>RANK(J523,$J$2:$J$601,1)</f>
        <v/>
      </c>
      <c r="L523">
        <f>IF(K523&lt;=60,1,0)</f>
        <v/>
      </c>
      <c r="M523">
        <f>IF(MOD(A523-7,10)=0,1,0)</f>
        <v/>
      </c>
      <c r="N523">
        <f>COUNTIFS($B$2:$B$601,B523,$J$2:$J$601,"&lt;"&amp;J523)+1</f>
        <v/>
      </c>
      <c r="O523">
        <f>ROUND(COUNTIF($B$2:$B$601,B523)/600*60,0)</f>
        <v/>
      </c>
      <c r="P523">
        <f>IF(N523&lt;=O523,1,0)</f>
        <v/>
      </c>
      <c r="Q523">
        <f>IF(OR(C523=4,C523=15,C523=27),1,0)</f>
        <v/>
      </c>
      <c r="R523">
        <f>IF(I523&lt;=60,1,0)</f>
        <v/>
      </c>
    </row>
    <row r="524">
      <c r="A524" t="n">
        <v>523</v>
      </c>
      <c r="B524" t="n">
        <v>4</v>
      </c>
      <c r="C524" t="n">
        <v>27</v>
      </c>
      <c r="D524" t="n">
        <v>1</v>
      </c>
      <c r="E524" t="n">
        <v>44</v>
      </c>
      <c r="F524" t="n">
        <v>0</v>
      </c>
      <c r="G524" t="n">
        <v>120</v>
      </c>
      <c r="H524" t="n">
        <v>0</v>
      </c>
      <c r="I524" t="n">
        <v>302</v>
      </c>
      <c r="J524" t="n">
        <v>0.289471</v>
      </c>
      <c r="K524">
        <f>RANK(J524,$J$2:$J$601,1)</f>
        <v/>
      </c>
      <c r="L524">
        <f>IF(K524&lt;=60,1,0)</f>
        <v/>
      </c>
      <c r="M524">
        <f>IF(MOD(A524-7,10)=0,1,0)</f>
        <v/>
      </c>
      <c r="N524">
        <f>COUNTIFS($B$2:$B$601,B524,$J$2:$J$601,"&lt;"&amp;J524)+1</f>
        <v/>
      </c>
      <c r="O524">
        <f>ROUND(COUNTIF($B$2:$B$601,B524)/600*60,0)</f>
        <v/>
      </c>
      <c r="P524">
        <f>IF(N524&lt;=O524,1,0)</f>
        <v/>
      </c>
      <c r="Q524">
        <f>IF(OR(C524=4,C524=15,C524=27),1,0)</f>
        <v/>
      </c>
      <c r="R524">
        <f>IF(I524&lt;=60,1,0)</f>
        <v/>
      </c>
    </row>
    <row r="525">
      <c r="A525" t="n">
        <v>524</v>
      </c>
      <c r="B525" t="n">
        <v>4</v>
      </c>
      <c r="C525" t="n">
        <v>27</v>
      </c>
      <c r="D525" t="n">
        <v>2</v>
      </c>
      <c r="E525" t="n">
        <v>66</v>
      </c>
      <c r="F525" t="n">
        <v>1</v>
      </c>
      <c r="G525" t="n">
        <v>136</v>
      </c>
      <c r="H525" t="n">
        <v>0</v>
      </c>
      <c r="I525" t="n">
        <v>266</v>
      </c>
      <c r="J525" t="n">
        <v>0.6876409999999999</v>
      </c>
      <c r="K525">
        <f>RANK(J525,$J$2:$J$601,1)</f>
        <v/>
      </c>
      <c r="L525">
        <f>IF(K525&lt;=60,1,0)</f>
        <v/>
      </c>
      <c r="M525">
        <f>IF(MOD(A525-7,10)=0,1,0)</f>
        <v/>
      </c>
      <c r="N525">
        <f>COUNTIFS($B$2:$B$601,B525,$J$2:$J$601,"&lt;"&amp;J525)+1</f>
        <v/>
      </c>
      <c r="O525">
        <f>ROUND(COUNTIF($B$2:$B$601,B525)/600*60,0)</f>
        <v/>
      </c>
      <c r="P525">
        <f>IF(N525&lt;=O525,1,0)</f>
        <v/>
      </c>
      <c r="Q525">
        <f>IF(OR(C525=4,C525=15,C525=27),1,0)</f>
        <v/>
      </c>
      <c r="R525">
        <f>IF(I525&lt;=60,1,0)</f>
        <v/>
      </c>
    </row>
    <row r="526">
      <c r="A526" t="n">
        <v>525</v>
      </c>
      <c r="B526" t="n">
        <v>4</v>
      </c>
      <c r="C526" t="n">
        <v>27</v>
      </c>
      <c r="D526" t="n">
        <v>1</v>
      </c>
      <c r="E526" t="n">
        <v>53</v>
      </c>
      <c r="F526" t="n">
        <v>0</v>
      </c>
      <c r="G526" t="n">
        <v>106</v>
      </c>
      <c r="H526" t="n">
        <v>0</v>
      </c>
      <c r="I526" t="n">
        <v>562</v>
      </c>
      <c r="J526" t="n">
        <v>0.551826</v>
      </c>
      <c r="K526">
        <f>RANK(J526,$J$2:$J$601,1)</f>
        <v/>
      </c>
      <c r="L526">
        <f>IF(K526&lt;=60,1,0)</f>
        <v/>
      </c>
      <c r="M526">
        <f>IF(MOD(A526-7,10)=0,1,0)</f>
        <v/>
      </c>
      <c r="N526">
        <f>COUNTIFS($B$2:$B$601,B526,$J$2:$J$601,"&lt;"&amp;J526)+1</f>
        <v/>
      </c>
      <c r="O526">
        <f>ROUND(COUNTIF($B$2:$B$601,B526)/600*60,0)</f>
        <v/>
      </c>
      <c r="P526">
        <f>IF(N526&lt;=O526,1,0)</f>
        <v/>
      </c>
      <c r="Q526">
        <f>IF(OR(C526=4,C526=15,C526=27),1,0)</f>
        <v/>
      </c>
      <c r="R526">
        <f>IF(I526&lt;=60,1,0)</f>
        <v/>
      </c>
    </row>
    <row r="527">
      <c r="A527" t="n">
        <v>526</v>
      </c>
      <c r="B527" t="n">
        <v>4</v>
      </c>
      <c r="C527" t="n">
        <v>27</v>
      </c>
      <c r="D527" t="n">
        <v>1</v>
      </c>
      <c r="E527" t="n">
        <v>33</v>
      </c>
      <c r="F527" t="n">
        <v>0</v>
      </c>
      <c r="G527" t="n">
        <v>122</v>
      </c>
      <c r="H527" t="n">
        <v>0</v>
      </c>
      <c r="I527" t="n">
        <v>473</v>
      </c>
      <c r="J527" t="n">
        <v>0.345098</v>
      </c>
      <c r="K527">
        <f>RANK(J527,$J$2:$J$601,1)</f>
        <v/>
      </c>
      <c r="L527">
        <f>IF(K527&lt;=60,1,0)</f>
        <v/>
      </c>
      <c r="M527">
        <f>IF(MOD(A527-7,10)=0,1,0)</f>
        <v/>
      </c>
      <c r="N527">
        <f>COUNTIFS($B$2:$B$601,B527,$J$2:$J$601,"&lt;"&amp;J527)+1</f>
        <v/>
      </c>
      <c r="O527">
        <f>ROUND(COUNTIF($B$2:$B$601,B527)/600*60,0)</f>
        <v/>
      </c>
      <c r="P527">
        <f>IF(N527&lt;=O527,1,0)</f>
        <v/>
      </c>
      <c r="Q527">
        <f>IF(OR(C527=4,C527=15,C527=27),1,0)</f>
        <v/>
      </c>
      <c r="R527">
        <f>IF(I527&lt;=60,1,0)</f>
        <v/>
      </c>
    </row>
    <row r="528">
      <c r="A528" t="n">
        <v>527</v>
      </c>
      <c r="B528" t="n">
        <v>4</v>
      </c>
      <c r="C528" t="n">
        <v>27</v>
      </c>
      <c r="D528" t="n">
        <v>2</v>
      </c>
      <c r="E528" t="n">
        <v>78</v>
      </c>
      <c r="F528" t="n">
        <v>1</v>
      </c>
      <c r="G528" t="n">
        <v>158</v>
      </c>
      <c r="H528" t="n">
        <v>1</v>
      </c>
      <c r="I528" t="n">
        <v>229</v>
      </c>
      <c r="J528" t="n">
        <v>0.307253</v>
      </c>
      <c r="K528">
        <f>RANK(J528,$J$2:$J$601,1)</f>
        <v/>
      </c>
      <c r="L528">
        <f>IF(K528&lt;=60,1,0)</f>
        <v/>
      </c>
      <c r="M528">
        <f>IF(MOD(A528-7,10)=0,1,0)</f>
        <v/>
      </c>
      <c r="N528">
        <f>COUNTIFS($B$2:$B$601,B528,$J$2:$J$601,"&lt;"&amp;J528)+1</f>
        <v/>
      </c>
      <c r="O528">
        <f>ROUND(COUNTIF($B$2:$B$601,B528)/600*60,0)</f>
        <v/>
      </c>
      <c r="P528">
        <f>IF(N528&lt;=O528,1,0)</f>
        <v/>
      </c>
      <c r="Q528">
        <f>IF(OR(C528=4,C528=15,C528=27),1,0)</f>
        <v/>
      </c>
      <c r="R528">
        <f>IF(I528&lt;=60,1,0)</f>
        <v/>
      </c>
    </row>
    <row r="529">
      <c r="A529" t="n">
        <v>528</v>
      </c>
      <c r="B529" t="n">
        <v>4</v>
      </c>
      <c r="C529" t="n">
        <v>27</v>
      </c>
      <c r="D529" t="n">
        <v>1</v>
      </c>
      <c r="E529" t="n">
        <v>32</v>
      </c>
      <c r="F529" t="n">
        <v>0</v>
      </c>
      <c r="G529" t="n">
        <v>101</v>
      </c>
      <c r="H529" t="n">
        <v>0</v>
      </c>
      <c r="I529" t="n">
        <v>415</v>
      </c>
      <c r="J529" t="n">
        <v>0.256172</v>
      </c>
      <c r="K529">
        <f>RANK(J529,$J$2:$J$601,1)</f>
        <v/>
      </c>
      <c r="L529">
        <f>IF(K529&lt;=60,1,0)</f>
        <v/>
      </c>
      <c r="M529">
        <f>IF(MOD(A529-7,10)=0,1,0)</f>
        <v/>
      </c>
      <c r="N529">
        <f>COUNTIFS($B$2:$B$601,B529,$J$2:$J$601,"&lt;"&amp;J529)+1</f>
        <v/>
      </c>
      <c r="O529">
        <f>ROUND(COUNTIF($B$2:$B$601,B529)/600*60,0)</f>
        <v/>
      </c>
      <c r="P529">
        <f>IF(N529&lt;=O529,1,0)</f>
        <v/>
      </c>
      <c r="Q529">
        <f>IF(OR(C529=4,C529=15,C529=27),1,0)</f>
        <v/>
      </c>
      <c r="R529">
        <f>IF(I529&lt;=60,1,0)</f>
        <v/>
      </c>
    </row>
    <row r="530">
      <c r="A530" t="n">
        <v>529</v>
      </c>
      <c r="B530" t="n">
        <v>4</v>
      </c>
      <c r="C530" t="n">
        <v>27</v>
      </c>
      <c r="D530" t="n">
        <v>1</v>
      </c>
      <c r="E530" t="n">
        <v>74</v>
      </c>
      <c r="F530" t="n">
        <v>0</v>
      </c>
      <c r="G530" t="n">
        <v>142</v>
      </c>
      <c r="H530" t="n">
        <v>1</v>
      </c>
      <c r="I530" t="n">
        <v>127</v>
      </c>
      <c r="J530" t="n">
        <v>0.355121</v>
      </c>
      <c r="K530">
        <f>RANK(J530,$J$2:$J$601,1)</f>
        <v/>
      </c>
      <c r="L530">
        <f>IF(K530&lt;=60,1,0)</f>
        <v/>
      </c>
      <c r="M530">
        <f>IF(MOD(A530-7,10)=0,1,0)</f>
        <v/>
      </c>
      <c r="N530">
        <f>COUNTIFS($B$2:$B$601,B530,$J$2:$J$601,"&lt;"&amp;J530)+1</f>
        <v/>
      </c>
      <c r="O530">
        <f>ROUND(COUNTIF($B$2:$B$601,B530)/600*60,0)</f>
        <v/>
      </c>
      <c r="P530">
        <f>IF(N530&lt;=O530,1,0)</f>
        <v/>
      </c>
      <c r="Q530">
        <f>IF(OR(C530=4,C530=15,C530=27),1,0)</f>
        <v/>
      </c>
      <c r="R530">
        <f>IF(I530&lt;=60,1,0)</f>
        <v/>
      </c>
    </row>
    <row r="531">
      <c r="A531" t="n">
        <v>530</v>
      </c>
      <c r="B531" t="n">
        <v>4</v>
      </c>
      <c r="C531" t="n">
        <v>27</v>
      </c>
      <c r="D531" t="n">
        <v>2</v>
      </c>
      <c r="E531" t="n">
        <v>46</v>
      </c>
      <c r="F531" t="n">
        <v>0</v>
      </c>
      <c r="G531" t="n">
        <v>140</v>
      </c>
      <c r="H531" t="n">
        <v>1</v>
      </c>
      <c r="I531" t="n">
        <v>80</v>
      </c>
      <c r="J531" t="n">
        <v>0.634711</v>
      </c>
      <c r="K531">
        <f>RANK(J531,$J$2:$J$601,1)</f>
        <v/>
      </c>
      <c r="L531">
        <f>IF(K531&lt;=60,1,0)</f>
        <v/>
      </c>
      <c r="M531">
        <f>IF(MOD(A531-7,10)=0,1,0)</f>
        <v/>
      </c>
      <c r="N531">
        <f>COUNTIFS($B$2:$B$601,B531,$J$2:$J$601,"&lt;"&amp;J531)+1</f>
        <v/>
      </c>
      <c r="O531">
        <f>ROUND(COUNTIF($B$2:$B$601,B531)/600*60,0)</f>
        <v/>
      </c>
      <c r="P531">
        <f>IF(N531&lt;=O531,1,0)</f>
        <v/>
      </c>
      <c r="Q531">
        <f>IF(OR(C531=4,C531=15,C531=27),1,0)</f>
        <v/>
      </c>
      <c r="R531">
        <f>IF(I531&lt;=60,1,0)</f>
        <v/>
      </c>
    </row>
    <row r="532">
      <c r="A532" t="n">
        <v>531</v>
      </c>
      <c r="B532" t="n">
        <v>4</v>
      </c>
      <c r="C532" t="n">
        <v>27</v>
      </c>
      <c r="D532" t="n">
        <v>1</v>
      </c>
      <c r="E532" t="n">
        <v>67</v>
      </c>
      <c r="F532" t="n">
        <v>0</v>
      </c>
      <c r="G532" t="n">
        <v>132</v>
      </c>
      <c r="H532" t="n">
        <v>0</v>
      </c>
      <c r="I532" t="n">
        <v>147</v>
      </c>
      <c r="J532" t="n">
        <v>0.112058</v>
      </c>
      <c r="K532">
        <f>RANK(J532,$J$2:$J$601,1)</f>
        <v/>
      </c>
      <c r="L532">
        <f>IF(K532&lt;=60,1,0)</f>
        <v/>
      </c>
      <c r="M532">
        <f>IF(MOD(A532-7,10)=0,1,0)</f>
        <v/>
      </c>
      <c r="N532">
        <f>COUNTIFS($B$2:$B$601,B532,$J$2:$J$601,"&lt;"&amp;J532)+1</f>
        <v/>
      </c>
      <c r="O532">
        <f>ROUND(COUNTIF($B$2:$B$601,B532)/600*60,0)</f>
        <v/>
      </c>
      <c r="P532">
        <f>IF(N532&lt;=O532,1,0)</f>
        <v/>
      </c>
      <c r="Q532">
        <f>IF(OR(C532=4,C532=15,C532=27),1,0)</f>
        <v/>
      </c>
      <c r="R532">
        <f>IF(I532&lt;=60,1,0)</f>
        <v/>
      </c>
    </row>
    <row r="533">
      <c r="A533" t="n">
        <v>532</v>
      </c>
      <c r="B533" t="n">
        <v>4</v>
      </c>
      <c r="C533" t="n">
        <v>27</v>
      </c>
      <c r="D533" t="n">
        <v>1</v>
      </c>
      <c r="E533" t="n">
        <v>37</v>
      </c>
      <c r="F533" t="n">
        <v>0</v>
      </c>
      <c r="G533" t="n">
        <v>115</v>
      </c>
      <c r="H533" t="n">
        <v>0</v>
      </c>
      <c r="I533" t="n">
        <v>376</v>
      </c>
      <c r="J533" t="n">
        <v>0.229238</v>
      </c>
      <c r="K533">
        <f>RANK(J533,$J$2:$J$601,1)</f>
        <v/>
      </c>
      <c r="L533">
        <f>IF(K533&lt;=60,1,0)</f>
        <v/>
      </c>
      <c r="M533">
        <f>IF(MOD(A533-7,10)=0,1,0)</f>
        <v/>
      </c>
      <c r="N533">
        <f>COUNTIFS($B$2:$B$601,B533,$J$2:$J$601,"&lt;"&amp;J533)+1</f>
        <v/>
      </c>
      <c r="O533">
        <f>ROUND(COUNTIF($B$2:$B$601,B533)/600*60,0)</f>
        <v/>
      </c>
      <c r="P533">
        <f>IF(N533&lt;=O533,1,0)</f>
        <v/>
      </c>
      <c r="Q533">
        <f>IF(OR(C533=4,C533=15,C533=27),1,0)</f>
        <v/>
      </c>
      <c r="R533">
        <f>IF(I533&lt;=60,1,0)</f>
        <v/>
      </c>
    </row>
    <row r="534">
      <c r="A534" t="n">
        <v>533</v>
      </c>
      <c r="B534" t="n">
        <v>4</v>
      </c>
      <c r="C534" t="n">
        <v>27</v>
      </c>
      <c r="D534" t="n">
        <v>1</v>
      </c>
      <c r="E534" t="n">
        <v>79</v>
      </c>
      <c r="F534" t="n">
        <v>0</v>
      </c>
      <c r="G534" t="n">
        <v>143</v>
      </c>
      <c r="H534" t="n">
        <v>1</v>
      </c>
      <c r="I534" t="n">
        <v>39</v>
      </c>
      <c r="J534" t="n">
        <v>0.69456</v>
      </c>
      <c r="K534">
        <f>RANK(J534,$J$2:$J$601,1)</f>
        <v/>
      </c>
      <c r="L534">
        <f>IF(K534&lt;=60,1,0)</f>
        <v/>
      </c>
      <c r="M534">
        <f>IF(MOD(A534-7,10)=0,1,0)</f>
        <v/>
      </c>
      <c r="N534">
        <f>COUNTIFS($B$2:$B$601,B534,$J$2:$J$601,"&lt;"&amp;J534)+1</f>
        <v/>
      </c>
      <c r="O534">
        <f>ROUND(COUNTIF($B$2:$B$601,B534)/600*60,0)</f>
        <v/>
      </c>
      <c r="P534">
        <f>IF(N534&lt;=O534,1,0)</f>
        <v/>
      </c>
      <c r="Q534">
        <f>IF(OR(C534=4,C534=15,C534=27),1,0)</f>
        <v/>
      </c>
      <c r="R534">
        <f>IF(I534&lt;=60,1,0)</f>
        <v/>
      </c>
    </row>
    <row r="535">
      <c r="A535" t="n">
        <v>534</v>
      </c>
      <c r="B535" t="n">
        <v>4</v>
      </c>
      <c r="C535" t="n">
        <v>27</v>
      </c>
      <c r="D535" t="n">
        <v>1</v>
      </c>
      <c r="E535" t="n">
        <v>47</v>
      </c>
      <c r="F535" t="n">
        <v>0</v>
      </c>
      <c r="G535" t="n">
        <v>97</v>
      </c>
      <c r="H535" t="n">
        <v>0</v>
      </c>
      <c r="I535" t="n">
        <v>435</v>
      </c>
      <c r="J535" t="n">
        <v>0.876113</v>
      </c>
      <c r="K535">
        <f>RANK(J535,$J$2:$J$601,1)</f>
        <v/>
      </c>
      <c r="L535">
        <f>IF(K535&lt;=60,1,0)</f>
        <v/>
      </c>
      <c r="M535">
        <f>IF(MOD(A535-7,10)=0,1,0)</f>
        <v/>
      </c>
      <c r="N535">
        <f>COUNTIFS($B$2:$B$601,B535,$J$2:$J$601,"&lt;"&amp;J535)+1</f>
        <v/>
      </c>
      <c r="O535">
        <f>ROUND(COUNTIF($B$2:$B$601,B535)/600*60,0)</f>
        <v/>
      </c>
      <c r="P535">
        <f>IF(N535&lt;=O535,1,0)</f>
        <v/>
      </c>
      <c r="Q535">
        <f>IF(OR(C535=4,C535=15,C535=27),1,0)</f>
        <v/>
      </c>
      <c r="R535">
        <f>IF(I535&lt;=60,1,0)</f>
        <v/>
      </c>
    </row>
    <row r="536">
      <c r="A536" t="n">
        <v>535</v>
      </c>
      <c r="B536" t="n">
        <v>4</v>
      </c>
      <c r="C536" t="n">
        <v>27</v>
      </c>
      <c r="D536" t="n">
        <v>1</v>
      </c>
      <c r="E536" t="n">
        <v>49</v>
      </c>
      <c r="F536" t="n">
        <v>0</v>
      </c>
      <c r="G536" t="n">
        <v>104</v>
      </c>
      <c r="H536" t="n">
        <v>0</v>
      </c>
      <c r="I536" t="n">
        <v>270</v>
      </c>
      <c r="J536" t="n">
        <v>0.955894</v>
      </c>
      <c r="K536">
        <f>RANK(J536,$J$2:$J$601,1)</f>
        <v/>
      </c>
      <c r="L536">
        <f>IF(K536&lt;=60,1,0)</f>
        <v/>
      </c>
      <c r="M536">
        <f>IF(MOD(A536-7,10)=0,1,0)</f>
        <v/>
      </c>
      <c r="N536">
        <f>COUNTIFS($B$2:$B$601,B536,$J$2:$J$601,"&lt;"&amp;J536)+1</f>
        <v/>
      </c>
      <c r="O536">
        <f>ROUND(COUNTIF($B$2:$B$601,B536)/600*60,0)</f>
        <v/>
      </c>
      <c r="P536">
        <f>IF(N536&lt;=O536,1,0)</f>
        <v/>
      </c>
      <c r="Q536">
        <f>IF(OR(C536=4,C536=15,C536=27),1,0)</f>
        <v/>
      </c>
      <c r="R536">
        <f>IF(I536&lt;=60,1,0)</f>
        <v/>
      </c>
    </row>
    <row r="537">
      <c r="A537" t="n">
        <v>536</v>
      </c>
      <c r="B537" t="n">
        <v>4</v>
      </c>
      <c r="C537" t="n">
        <v>27</v>
      </c>
      <c r="D537" t="n">
        <v>1</v>
      </c>
      <c r="E537" t="n">
        <v>54</v>
      </c>
      <c r="F537" t="n">
        <v>0</v>
      </c>
      <c r="G537" t="n">
        <v>121</v>
      </c>
      <c r="H537" t="n">
        <v>0</v>
      </c>
      <c r="I537" t="n">
        <v>318</v>
      </c>
      <c r="J537" t="n">
        <v>0.749119</v>
      </c>
      <c r="K537">
        <f>RANK(J537,$J$2:$J$601,1)</f>
        <v/>
      </c>
      <c r="L537">
        <f>IF(K537&lt;=60,1,0)</f>
        <v/>
      </c>
      <c r="M537">
        <f>IF(MOD(A537-7,10)=0,1,0)</f>
        <v/>
      </c>
      <c r="N537">
        <f>COUNTIFS($B$2:$B$601,B537,$J$2:$J$601,"&lt;"&amp;J537)+1</f>
        <v/>
      </c>
      <c r="O537">
        <f>ROUND(COUNTIF($B$2:$B$601,B537)/600*60,0)</f>
        <v/>
      </c>
      <c r="P537">
        <f>IF(N537&lt;=O537,1,0)</f>
        <v/>
      </c>
      <c r="Q537">
        <f>IF(OR(C537=4,C537=15,C537=27),1,0)</f>
        <v/>
      </c>
      <c r="R537">
        <f>IF(I537&lt;=60,1,0)</f>
        <v/>
      </c>
    </row>
    <row r="538">
      <c r="A538" t="n">
        <v>537</v>
      </c>
      <c r="B538" t="n">
        <v>4</v>
      </c>
      <c r="C538" t="n">
        <v>27</v>
      </c>
      <c r="D538" t="n">
        <v>1</v>
      </c>
      <c r="E538" t="n">
        <v>73</v>
      </c>
      <c r="F538" t="n">
        <v>0</v>
      </c>
      <c r="G538" t="n">
        <v>142</v>
      </c>
      <c r="H538" t="n">
        <v>1</v>
      </c>
      <c r="I538" t="n">
        <v>139</v>
      </c>
      <c r="J538" t="n">
        <v>0.463913</v>
      </c>
      <c r="K538">
        <f>RANK(J538,$J$2:$J$601,1)</f>
        <v/>
      </c>
      <c r="L538">
        <f>IF(K538&lt;=60,1,0)</f>
        <v/>
      </c>
      <c r="M538">
        <f>IF(MOD(A538-7,10)=0,1,0)</f>
        <v/>
      </c>
      <c r="N538">
        <f>COUNTIFS($B$2:$B$601,B538,$J$2:$J$601,"&lt;"&amp;J538)+1</f>
        <v/>
      </c>
      <c r="O538">
        <f>ROUND(COUNTIF($B$2:$B$601,B538)/600*60,0)</f>
        <v/>
      </c>
      <c r="P538">
        <f>IF(N538&lt;=O538,1,0)</f>
        <v/>
      </c>
      <c r="Q538">
        <f>IF(OR(C538=4,C538=15,C538=27),1,0)</f>
        <v/>
      </c>
      <c r="R538">
        <f>IF(I538&lt;=60,1,0)</f>
        <v/>
      </c>
    </row>
    <row r="539">
      <c r="A539" t="n">
        <v>538</v>
      </c>
      <c r="B539" t="n">
        <v>4</v>
      </c>
      <c r="C539" t="n">
        <v>27</v>
      </c>
      <c r="D539" t="n">
        <v>1</v>
      </c>
      <c r="E539" t="n">
        <v>48</v>
      </c>
      <c r="F539" t="n">
        <v>0</v>
      </c>
      <c r="G539" t="n">
        <v>119</v>
      </c>
      <c r="H539" t="n">
        <v>0</v>
      </c>
      <c r="I539" t="n">
        <v>255</v>
      </c>
      <c r="J539" t="n">
        <v>0.984862</v>
      </c>
      <c r="K539">
        <f>RANK(J539,$J$2:$J$601,1)</f>
        <v/>
      </c>
      <c r="L539">
        <f>IF(K539&lt;=60,1,0)</f>
        <v/>
      </c>
      <c r="M539">
        <f>IF(MOD(A539-7,10)=0,1,0)</f>
        <v/>
      </c>
      <c r="N539">
        <f>COUNTIFS($B$2:$B$601,B539,$J$2:$J$601,"&lt;"&amp;J539)+1</f>
        <v/>
      </c>
      <c r="O539">
        <f>ROUND(COUNTIF($B$2:$B$601,B539)/600*60,0)</f>
        <v/>
      </c>
      <c r="P539">
        <f>IF(N539&lt;=O539,1,0)</f>
        <v/>
      </c>
      <c r="Q539">
        <f>IF(OR(C539=4,C539=15,C539=27),1,0)</f>
        <v/>
      </c>
      <c r="R539">
        <f>IF(I539&lt;=60,1,0)</f>
        <v/>
      </c>
    </row>
    <row r="540">
      <c r="A540" t="n">
        <v>539</v>
      </c>
      <c r="B540" t="n">
        <v>4</v>
      </c>
      <c r="C540" t="n">
        <v>27</v>
      </c>
      <c r="D540" t="n">
        <v>2</v>
      </c>
      <c r="E540" t="n">
        <v>30</v>
      </c>
      <c r="F540" t="n">
        <v>0</v>
      </c>
      <c r="G540" t="n">
        <v>103</v>
      </c>
      <c r="H540" t="n">
        <v>0</v>
      </c>
      <c r="I540" t="n">
        <v>199</v>
      </c>
      <c r="J540" t="n">
        <v>0.540534</v>
      </c>
      <c r="K540">
        <f>RANK(J540,$J$2:$J$601,1)</f>
        <v/>
      </c>
      <c r="L540">
        <f>IF(K540&lt;=60,1,0)</f>
        <v/>
      </c>
      <c r="M540">
        <f>IF(MOD(A540-7,10)=0,1,0)</f>
        <v/>
      </c>
      <c r="N540">
        <f>COUNTIFS($B$2:$B$601,B540,$J$2:$J$601,"&lt;"&amp;J540)+1</f>
        <v/>
      </c>
      <c r="O540">
        <f>ROUND(COUNTIF($B$2:$B$601,B540)/600*60,0)</f>
        <v/>
      </c>
      <c r="P540">
        <f>IF(N540&lt;=O540,1,0)</f>
        <v/>
      </c>
      <c r="Q540">
        <f>IF(OR(C540=4,C540=15,C540=27),1,0)</f>
        <v/>
      </c>
      <c r="R540">
        <f>IF(I540&lt;=60,1,0)</f>
        <v/>
      </c>
    </row>
    <row r="541">
      <c r="A541" t="n">
        <v>540</v>
      </c>
      <c r="B541" t="n">
        <v>4</v>
      </c>
      <c r="C541" t="n">
        <v>27</v>
      </c>
      <c r="D541" t="n">
        <v>2</v>
      </c>
      <c r="E541" t="n">
        <v>75</v>
      </c>
      <c r="F541" t="n">
        <v>0</v>
      </c>
      <c r="G541" t="n">
        <v>137</v>
      </c>
      <c r="H541" t="n">
        <v>0</v>
      </c>
      <c r="I541" t="n">
        <v>183</v>
      </c>
      <c r="J541" t="n">
        <v>0.537701</v>
      </c>
      <c r="K541">
        <f>RANK(J541,$J$2:$J$601,1)</f>
        <v/>
      </c>
      <c r="L541">
        <f>IF(K541&lt;=60,1,0)</f>
        <v/>
      </c>
      <c r="M541">
        <f>IF(MOD(A541-7,10)=0,1,0)</f>
        <v/>
      </c>
      <c r="N541">
        <f>COUNTIFS($B$2:$B$601,B541,$J$2:$J$601,"&lt;"&amp;J541)+1</f>
        <v/>
      </c>
      <c r="O541">
        <f>ROUND(COUNTIF($B$2:$B$601,B541)/600*60,0)</f>
        <v/>
      </c>
      <c r="P541">
        <f>IF(N541&lt;=O541,1,0)</f>
        <v/>
      </c>
      <c r="Q541">
        <f>IF(OR(C541=4,C541=15,C541=27),1,0)</f>
        <v/>
      </c>
      <c r="R541">
        <f>IF(I541&lt;=60,1,0)</f>
        <v/>
      </c>
    </row>
    <row r="542">
      <c r="A542" t="n">
        <v>541</v>
      </c>
      <c r="B542" t="n">
        <v>4</v>
      </c>
      <c r="C542" t="n">
        <v>28</v>
      </c>
      <c r="D542" t="n">
        <v>1</v>
      </c>
      <c r="E542" t="n">
        <v>73</v>
      </c>
      <c r="F542" t="n">
        <v>0</v>
      </c>
      <c r="G542" t="n">
        <v>124</v>
      </c>
      <c r="H542" t="n">
        <v>0</v>
      </c>
      <c r="I542" t="n">
        <v>268</v>
      </c>
      <c r="J542" t="n">
        <v>0.6575800000000001</v>
      </c>
      <c r="K542">
        <f>RANK(J542,$J$2:$J$601,1)</f>
        <v/>
      </c>
      <c r="L542">
        <f>IF(K542&lt;=60,1,0)</f>
        <v/>
      </c>
      <c r="M542">
        <f>IF(MOD(A542-7,10)=0,1,0)</f>
        <v/>
      </c>
      <c r="N542">
        <f>COUNTIFS($B$2:$B$601,B542,$J$2:$J$601,"&lt;"&amp;J542)+1</f>
        <v/>
      </c>
      <c r="O542">
        <f>ROUND(COUNTIF($B$2:$B$601,B542)/600*60,0)</f>
        <v/>
      </c>
      <c r="P542">
        <f>IF(N542&lt;=O542,1,0)</f>
        <v/>
      </c>
      <c r="Q542">
        <f>IF(OR(C542=4,C542=15,C542=27),1,0)</f>
        <v/>
      </c>
      <c r="R542">
        <f>IF(I542&lt;=60,1,0)</f>
        <v/>
      </c>
    </row>
    <row r="543">
      <c r="A543" t="n">
        <v>542</v>
      </c>
      <c r="B543" t="n">
        <v>4</v>
      </c>
      <c r="C543" t="n">
        <v>28</v>
      </c>
      <c r="D543" t="n">
        <v>1</v>
      </c>
      <c r="E543" t="n">
        <v>80</v>
      </c>
      <c r="F543" t="n">
        <v>1</v>
      </c>
      <c r="G543" t="n">
        <v>159</v>
      </c>
      <c r="H543" t="n">
        <v>1</v>
      </c>
      <c r="I543" t="n">
        <v>136</v>
      </c>
      <c r="J543" t="n">
        <v>0.005633</v>
      </c>
      <c r="K543">
        <f>RANK(J543,$J$2:$J$601,1)</f>
        <v/>
      </c>
      <c r="L543">
        <f>IF(K543&lt;=60,1,0)</f>
        <v/>
      </c>
      <c r="M543">
        <f>IF(MOD(A543-7,10)=0,1,0)</f>
        <v/>
      </c>
      <c r="N543">
        <f>COUNTIFS($B$2:$B$601,B543,$J$2:$J$601,"&lt;"&amp;J543)+1</f>
        <v/>
      </c>
      <c r="O543">
        <f>ROUND(COUNTIF($B$2:$B$601,B543)/600*60,0)</f>
        <v/>
      </c>
      <c r="P543">
        <f>IF(N543&lt;=O543,1,0)</f>
        <v/>
      </c>
      <c r="Q543">
        <f>IF(OR(C543=4,C543=15,C543=27),1,0)</f>
        <v/>
      </c>
      <c r="R543">
        <f>IF(I543&lt;=60,1,0)</f>
        <v/>
      </c>
    </row>
    <row r="544">
      <c r="A544" t="n">
        <v>543</v>
      </c>
      <c r="B544" t="n">
        <v>4</v>
      </c>
      <c r="C544" t="n">
        <v>28</v>
      </c>
      <c r="D544" t="n">
        <v>1</v>
      </c>
      <c r="E544" t="n">
        <v>38</v>
      </c>
      <c r="F544" t="n">
        <v>0</v>
      </c>
      <c r="G544" t="n">
        <v>107</v>
      </c>
      <c r="H544" t="n">
        <v>0</v>
      </c>
      <c r="I544" t="n">
        <v>358</v>
      </c>
      <c r="J544" t="n">
        <v>0.479485</v>
      </c>
      <c r="K544">
        <f>RANK(J544,$J$2:$J$601,1)</f>
        <v/>
      </c>
      <c r="L544">
        <f>IF(K544&lt;=60,1,0)</f>
        <v/>
      </c>
      <c r="M544">
        <f>IF(MOD(A544-7,10)=0,1,0)</f>
        <v/>
      </c>
      <c r="N544">
        <f>COUNTIFS($B$2:$B$601,B544,$J$2:$J$601,"&lt;"&amp;J544)+1</f>
        <v/>
      </c>
      <c r="O544">
        <f>ROUND(COUNTIF($B$2:$B$601,B544)/600*60,0)</f>
        <v/>
      </c>
      <c r="P544">
        <f>IF(N544&lt;=O544,1,0)</f>
        <v/>
      </c>
      <c r="Q544">
        <f>IF(OR(C544=4,C544=15,C544=27),1,0)</f>
        <v/>
      </c>
      <c r="R544">
        <f>IF(I544&lt;=60,1,0)</f>
        <v/>
      </c>
    </row>
    <row r="545">
      <c r="A545" t="n">
        <v>544</v>
      </c>
      <c r="B545" t="n">
        <v>4</v>
      </c>
      <c r="C545" t="n">
        <v>28</v>
      </c>
      <c r="D545" t="n">
        <v>2</v>
      </c>
      <c r="E545" t="n">
        <v>64</v>
      </c>
      <c r="F545" t="n">
        <v>0</v>
      </c>
      <c r="G545" t="n">
        <v>141</v>
      </c>
      <c r="H545" t="n">
        <v>1</v>
      </c>
      <c r="I545" t="n">
        <v>7</v>
      </c>
      <c r="J545" t="n">
        <v>0.7278520000000001</v>
      </c>
      <c r="K545">
        <f>RANK(J545,$J$2:$J$601,1)</f>
        <v/>
      </c>
      <c r="L545">
        <f>IF(K545&lt;=60,1,0)</f>
        <v/>
      </c>
      <c r="M545">
        <f>IF(MOD(A545-7,10)=0,1,0)</f>
        <v/>
      </c>
      <c r="N545">
        <f>COUNTIFS($B$2:$B$601,B545,$J$2:$J$601,"&lt;"&amp;J545)+1</f>
        <v/>
      </c>
      <c r="O545">
        <f>ROUND(COUNTIF($B$2:$B$601,B545)/600*60,0)</f>
        <v/>
      </c>
      <c r="P545">
        <f>IF(N545&lt;=O545,1,0)</f>
        <v/>
      </c>
      <c r="Q545">
        <f>IF(OR(C545=4,C545=15,C545=27),1,0)</f>
        <v/>
      </c>
      <c r="R545">
        <f>IF(I545&lt;=60,1,0)</f>
        <v/>
      </c>
    </row>
    <row r="546">
      <c r="A546" t="n">
        <v>545</v>
      </c>
      <c r="B546" t="n">
        <v>4</v>
      </c>
      <c r="C546" t="n">
        <v>28</v>
      </c>
      <c r="D546" t="n">
        <v>2</v>
      </c>
      <c r="E546" t="n">
        <v>59</v>
      </c>
      <c r="F546" t="n">
        <v>0</v>
      </c>
      <c r="G546" t="n">
        <v>133</v>
      </c>
      <c r="H546" t="n">
        <v>0</v>
      </c>
      <c r="I546" t="n">
        <v>498</v>
      </c>
      <c r="J546" t="n">
        <v>0.054684</v>
      </c>
      <c r="K546">
        <f>RANK(J546,$J$2:$J$601,1)</f>
        <v/>
      </c>
      <c r="L546">
        <f>IF(K546&lt;=60,1,0)</f>
        <v/>
      </c>
      <c r="M546">
        <f>IF(MOD(A546-7,10)=0,1,0)</f>
        <v/>
      </c>
      <c r="N546">
        <f>COUNTIFS($B$2:$B$601,B546,$J$2:$J$601,"&lt;"&amp;J546)+1</f>
        <v/>
      </c>
      <c r="O546">
        <f>ROUND(COUNTIF($B$2:$B$601,B546)/600*60,0)</f>
        <v/>
      </c>
      <c r="P546">
        <f>IF(N546&lt;=O546,1,0)</f>
        <v/>
      </c>
      <c r="Q546">
        <f>IF(OR(C546=4,C546=15,C546=27),1,0)</f>
        <v/>
      </c>
      <c r="R546">
        <f>IF(I546&lt;=60,1,0)</f>
        <v/>
      </c>
    </row>
    <row r="547">
      <c r="A547" t="n">
        <v>546</v>
      </c>
      <c r="B547" t="n">
        <v>4</v>
      </c>
      <c r="C547" t="n">
        <v>28</v>
      </c>
      <c r="D547" t="n">
        <v>2</v>
      </c>
      <c r="E547" t="n">
        <v>34</v>
      </c>
      <c r="F547" t="n">
        <v>0</v>
      </c>
      <c r="G547" t="n">
        <v>104</v>
      </c>
      <c r="H547" t="n">
        <v>0</v>
      </c>
      <c r="I547" t="n">
        <v>146</v>
      </c>
      <c r="J547" t="n">
        <v>0.45767</v>
      </c>
      <c r="K547">
        <f>RANK(J547,$J$2:$J$601,1)</f>
        <v/>
      </c>
      <c r="L547">
        <f>IF(K547&lt;=60,1,0)</f>
        <v/>
      </c>
      <c r="M547">
        <f>IF(MOD(A547-7,10)=0,1,0)</f>
        <v/>
      </c>
      <c r="N547">
        <f>COUNTIFS($B$2:$B$601,B547,$J$2:$J$601,"&lt;"&amp;J547)+1</f>
        <v/>
      </c>
      <c r="O547">
        <f>ROUND(COUNTIF($B$2:$B$601,B547)/600*60,0)</f>
        <v/>
      </c>
      <c r="P547">
        <f>IF(N547&lt;=O547,1,0)</f>
        <v/>
      </c>
      <c r="Q547">
        <f>IF(OR(C547=4,C547=15,C547=27),1,0)</f>
        <v/>
      </c>
      <c r="R547">
        <f>IF(I547&lt;=60,1,0)</f>
        <v/>
      </c>
    </row>
    <row r="548">
      <c r="A548" t="n">
        <v>547</v>
      </c>
      <c r="B548" t="n">
        <v>4</v>
      </c>
      <c r="C548" t="n">
        <v>28</v>
      </c>
      <c r="D548" t="n">
        <v>1</v>
      </c>
      <c r="E548" t="n">
        <v>80</v>
      </c>
      <c r="F548" t="n">
        <v>0</v>
      </c>
      <c r="G548" t="n">
        <v>148</v>
      </c>
      <c r="H548" t="n">
        <v>1</v>
      </c>
      <c r="I548" t="n">
        <v>20</v>
      </c>
      <c r="J548" t="n">
        <v>0.09426900000000001</v>
      </c>
      <c r="K548">
        <f>RANK(J548,$J$2:$J$601,1)</f>
        <v/>
      </c>
      <c r="L548">
        <f>IF(K548&lt;=60,1,0)</f>
        <v/>
      </c>
      <c r="M548">
        <f>IF(MOD(A548-7,10)=0,1,0)</f>
        <v/>
      </c>
      <c r="N548">
        <f>COUNTIFS($B$2:$B$601,B548,$J$2:$J$601,"&lt;"&amp;J548)+1</f>
        <v/>
      </c>
      <c r="O548">
        <f>ROUND(COUNTIF($B$2:$B$601,B548)/600*60,0)</f>
        <v/>
      </c>
      <c r="P548">
        <f>IF(N548&lt;=O548,1,0)</f>
        <v/>
      </c>
      <c r="Q548">
        <f>IF(OR(C548=4,C548=15,C548=27),1,0)</f>
        <v/>
      </c>
      <c r="R548">
        <f>IF(I548&lt;=60,1,0)</f>
        <v/>
      </c>
    </row>
    <row r="549">
      <c r="A549" t="n">
        <v>548</v>
      </c>
      <c r="B549" t="n">
        <v>4</v>
      </c>
      <c r="C549" t="n">
        <v>28</v>
      </c>
      <c r="D549" t="n">
        <v>2</v>
      </c>
      <c r="E549" t="n">
        <v>58</v>
      </c>
      <c r="F549" t="n">
        <v>1</v>
      </c>
      <c r="G549" t="n">
        <v>145</v>
      </c>
      <c r="H549" t="n">
        <v>1</v>
      </c>
      <c r="I549" t="n">
        <v>100</v>
      </c>
      <c r="J549" t="n">
        <v>0.973714</v>
      </c>
      <c r="K549">
        <f>RANK(J549,$J$2:$J$601,1)</f>
        <v/>
      </c>
      <c r="L549">
        <f>IF(K549&lt;=60,1,0)</f>
        <v/>
      </c>
      <c r="M549">
        <f>IF(MOD(A549-7,10)=0,1,0)</f>
        <v/>
      </c>
      <c r="N549">
        <f>COUNTIFS($B$2:$B$601,B549,$J$2:$J$601,"&lt;"&amp;J549)+1</f>
        <v/>
      </c>
      <c r="O549">
        <f>ROUND(COUNTIF($B$2:$B$601,B549)/600*60,0)</f>
        <v/>
      </c>
      <c r="P549">
        <f>IF(N549&lt;=O549,1,0)</f>
        <v/>
      </c>
      <c r="Q549">
        <f>IF(OR(C549=4,C549=15,C549=27),1,0)</f>
        <v/>
      </c>
      <c r="R549">
        <f>IF(I549&lt;=60,1,0)</f>
        <v/>
      </c>
    </row>
    <row r="550">
      <c r="A550" t="n">
        <v>549</v>
      </c>
      <c r="B550" t="n">
        <v>4</v>
      </c>
      <c r="C550" t="n">
        <v>28</v>
      </c>
      <c r="D550" t="n">
        <v>2</v>
      </c>
      <c r="E550" t="n">
        <v>32</v>
      </c>
      <c r="F550" t="n">
        <v>0</v>
      </c>
      <c r="G550" t="n">
        <v>126</v>
      </c>
      <c r="H550" t="n">
        <v>0</v>
      </c>
      <c r="I550" t="n">
        <v>341</v>
      </c>
      <c r="J550" t="n">
        <v>0.031901</v>
      </c>
      <c r="K550">
        <f>RANK(J550,$J$2:$J$601,1)</f>
        <v/>
      </c>
      <c r="L550">
        <f>IF(K550&lt;=60,1,0)</f>
        <v/>
      </c>
      <c r="M550">
        <f>IF(MOD(A550-7,10)=0,1,0)</f>
        <v/>
      </c>
      <c r="N550">
        <f>COUNTIFS($B$2:$B$601,B550,$J$2:$J$601,"&lt;"&amp;J550)+1</f>
        <v/>
      </c>
      <c r="O550">
        <f>ROUND(COUNTIF($B$2:$B$601,B550)/600*60,0)</f>
        <v/>
      </c>
      <c r="P550">
        <f>IF(N550&lt;=O550,1,0)</f>
        <v/>
      </c>
      <c r="Q550">
        <f>IF(OR(C550=4,C550=15,C550=27),1,0)</f>
        <v/>
      </c>
      <c r="R550">
        <f>IF(I550&lt;=60,1,0)</f>
        <v/>
      </c>
    </row>
    <row r="551">
      <c r="A551" t="n">
        <v>550</v>
      </c>
      <c r="B551" t="n">
        <v>4</v>
      </c>
      <c r="C551" t="n">
        <v>28</v>
      </c>
      <c r="D551" t="n">
        <v>1</v>
      </c>
      <c r="E551" t="n">
        <v>36</v>
      </c>
      <c r="F551" t="n">
        <v>0</v>
      </c>
      <c r="G551" t="n">
        <v>114</v>
      </c>
      <c r="H551" t="n">
        <v>0</v>
      </c>
      <c r="I551" t="n">
        <v>202</v>
      </c>
      <c r="J551" t="n">
        <v>0.828905</v>
      </c>
      <c r="K551">
        <f>RANK(J551,$J$2:$J$601,1)</f>
        <v/>
      </c>
      <c r="L551">
        <f>IF(K551&lt;=60,1,0)</f>
        <v/>
      </c>
      <c r="M551">
        <f>IF(MOD(A551-7,10)=0,1,0)</f>
        <v/>
      </c>
      <c r="N551">
        <f>COUNTIFS($B$2:$B$601,B551,$J$2:$J$601,"&lt;"&amp;J551)+1</f>
        <v/>
      </c>
      <c r="O551">
        <f>ROUND(COUNTIF($B$2:$B$601,B551)/600*60,0)</f>
        <v/>
      </c>
      <c r="P551">
        <f>IF(N551&lt;=O551,1,0)</f>
        <v/>
      </c>
      <c r="Q551">
        <f>IF(OR(C551=4,C551=15,C551=27),1,0)</f>
        <v/>
      </c>
      <c r="R551">
        <f>IF(I551&lt;=60,1,0)</f>
        <v/>
      </c>
    </row>
    <row r="552">
      <c r="A552" t="n">
        <v>551</v>
      </c>
      <c r="B552" t="n">
        <v>4</v>
      </c>
      <c r="C552" t="n">
        <v>28</v>
      </c>
      <c r="D552" t="n">
        <v>2</v>
      </c>
      <c r="E552" t="n">
        <v>47</v>
      </c>
      <c r="F552" t="n">
        <v>0</v>
      </c>
      <c r="G552" t="n">
        <v>126</v>
      </c>
      <c r="H552" t="n">
        <v>0</v>
      </c>
      <c r="I552" t="n">
        <v>481</v>
      </c>
      <c r="J552" t="n">
        <v>0.664865</v>
      </c>
      <c r="K552">
        <f>RANK(J552,$J$2:$J$601,1)</f>
        <v/>
      </c>
      <c r="L552">
        <f>IF(K552&lt;=60,1,0)</f>
        <v/>
      </c>
      <c r="M552">
        <f>IF(MOD(A552-7,10)=0,1,0)</f>
        <v/>
      </c>
      <c r="N552">
        <f>COUNTIFS($B$2:$B$601,B552,$J$2:$J$601,"&lt;"&amp;J552)+1</f>
        <v/>
      </c>
      <c r="O552">
        <f>ROUND(COUNTIF($B$2:$B$601,B552)/600*60,0)</f>
        <v/>
      </c>
      <c r="P552">
        <f>IF(N552&lt;=O552,1,0)</f>
        <v/>
      </c>
      <c r="Q552">
        <f>IF(OR(C552=4,C552=15,C552=27),1,0)</f>
        <v/>
      </c>
      <c r="R552">
        <f>IF(I552&lt;=60,1,0)</f>
        <v/>
      </c>
    </row>
    <row r="553">
      <c r="A553" t="n">
        <v>552</v>
      </c>
      <c r="B553" t="n">
        <v>4</v>
      </c>
      <c r="C553" t="n">
        <v>28</v>
      </c>
      <c r="D553" t="n">
        <v>1</v>
      </c>
      <c r="E553" t="n">
        <v>77</v>
      </c>
      <c r="F553" t="n">
        <v>0</v>
      </c>
      <c r="G553" t="n">
        <v>138</v>
      </c>
      <c r="H553" t="n">
        <v>0</v>
      </c>
      <c r="I553" t="n">
        <v>491</v>
      </c>
      <c r="J553" t="n">
        <v>0.004457</v>
      </c>
      <c r="K553">
        <f>RANK(J553,$J$2:$J$601,1)</f>
        <v/>
      </c>
      <c r="L553">
        <f>IF(K553&lt;=60,1,0)</f>
        <v/>
      </c>
      <c r="M553">
        <f>IF(MOD(A553-7,10)=0,1,0)</f>
        <v/>
      </c>
      <c r="N553">
        <f>COUNTIFS($B$2:$B$601,B553,$J$2:$J$601,"&lt;"&amp;J553)+1</f>
        <v/>
      </c>
      <c r="O553">
        <f>ROUND(COUNTIF($B$2:$B$601,B553)/600*60,0)</f>
        <v/>
      </c>
      <c r="P553">
        <f>IF(N553&lt;=O553,1,0)</f>
        <v/>
      </c>
      <c r="Q553">
        <f>IF(OR(C553=4,C553=15,C553=27),1,0)</f>
        <v/>
      </c>
      <c r="R553">
        <f>IF(I553&lt;=60,1,0)</f>
        <v/>
      </c>
    </row>
    <row r="554">
      <c r="A554" t="n">
        <v>553</v>
      </c>
      <c r="B554" t="n">
        <v>4</v>
      </c>
      <c r="C554" t="n">
        <v>28</v>
      </c>
      <c r="D554" t="n">
        <v>2</v>
      </c>
      <c r="E554" t="n">
        <v>39</v>
      </c>
      <c r="F554" t="n">
        <v>0</v>
      </c>
      <c r="G554" t="n">
        <v>128</v>
      </c>
      <c r="H554" t="n">
        <v>0</v>
      </c>
      <c r="I554" t="n">
        <v>386</v>
      </c>
      <c r="J554" t="n">
        <v>0.546193</v>
      </c>
      <c r="K554">
        <f>RANK(J554,$J$2:$J$601,1)</f>
        <v/>
      </c>
      <c r="L554">
        <f>IF(K554&lt;=60,1,0)</f>
        <v/>
      </c>
      <c r="M554">
        <f>IF(MOD(A554-7,10)=0,1,0)</f>
        <v/>
      </c>
      <c r="N554">
        <f>COUNTIFS($B$2:$B$601,B554,$J$2:$J$601,"&lt;"&amp;J554)+1</f>
        <v/>
      </c>
      <c r="O554">
        <f>ROUND(COUNTIF($B$2:$B$601,B554)/600*60,0)</f>
        <v/>
      </c>
      <c r="P554">
        <f>IF(N554&lt;=O554,1,0)</f>
        <v/>
      </c>
      <c r="Q554">
        <f>IF(OR(C554=4,C554=15,C554=27),1,0)</f>
        <v/>
      </c>
      <c r="R554">
        <f>IF(I554&lt;=60,1,0)</f>
        <v/>
      </c>
    </row>
    <row r="555">
      <c r="A555" t="n">
        <v>554</v>
      </c>
      <c r="B555" t="n">
        <v>4</v>
      </c>
      <c r="C555" t="n">
        <v>28</v>
      </c>
      <c r="D555" t="n">
        <v>2</v>
      </c>
      <c r="E555" t="n">
        <v>38</v>
      </c>
      <c r="F555" t="n">
        <v>0</v>
      </c>
      <c r="G555" t="n">
        <v>133</v>
      </c>
      <c r="H555" t="n">
        <v>0</v>
      </c>
      <c r="I555" t="n">
        <v>531</v>
      </c>
      <c r="J555" t="n">
        <v>0.790552</v>
      </c>
      <c r="K555">
        <f>RANK(J555,$J$2:$J$601,1)</f>
        <v/>
      </c>
      <c r="L555">
        <f>IF(K555&lt;=60,1,0)</f>
        <v/>
      </c>
      <c r="M555">
        <f>IF(MOD(A555-7,10)=0,1,0)</f>
        <v/>
      </c>
      <c r="N555">
        <f>COUNTIFS($B$2:$B$601,B555,$J$2:$J$601,"&lt;"&amp;J555)+1</f>
        <v/>
      </c>
      <c r="O555">
        <f>ROUND(COUNTIF($B$2:$B$601,B555)/600*60,0)</f>
        <v/>
      </c>
      <c r="P555">
        <f>IF(N555&lt;=O555,1,0)</f>
        <v/>
      </c>
      <c r="Q555">
        <f>IF(OR(C555=4,C555=15,C555=27),1,0)</f>
        <v/>
      </c>
      <c r="R555">
        <f>IF(I555&lt;=60,1,0)</f>
        <v/>
      </c>
    </row>
    <row r="556">
      <c r="A556" t="n">
        <v>555</v>
      </c>
      <c r="B556" t="n">
        <v>4</v>
      </c>
      <c r="C556" t="n">
        <v>28</v>
      </c>
      <c r="D556" t="n">
        <v>2</v>
      </c>
      <c r="E556" t="n">
        <v>69</v>
      </c>
      <c r="F556" t="n">
        <v>1</v>
      </c>
      <c r="G556" t="n">
        <v>122</v>
      </c>
      <c r="H556" t="n">
        <v>0</v>
      </c>
      <c r="I556" t="n">
        <v>276</v>
      </c>
      <c r="J556" t="n">
        <v>0.409116</v>
      </c>
      <c r="K556">
        <f>RANK(J556,$J$2:$J$601,1)</f>
        <v/>
      </c>
      <c r="L556">
        <f>IF(K556&lt;=60,1,0)</f>
        <v/>
      </c>
      <c r="M556">
        <f>IF(MOD(A556-7,10)=0,1,0)</f>
        <v/>
      </c>
      <c r="N556">
        <f>COUNTIFS($B$2:$B$601,B556,$J$2:$J$601,"&lt;"&amp;J556)+1</f>
        <v/>
      </c>
      <c r="O556">
        <f>ROUND(COUNTIF($B$2:$B$601,B556)/600*60,0)</f>
        <v/>
      </c>
      <c r="P556">
        <f>IF(N556&lt;=O556,1,0)</f>
        <v/>
      </c>
      <c r="Q556">
        <f>IF(OR(C556=4,C556=15,C556=27),1,0)</f>
        <v/>
      </c>
      <c r="R556">
        <f>IF(I556&lt;=60,1,0)</f>
        <v/>
      </c>
    </row>
    <row r="557">
      <c r="A557" t="n">
        <v>556</v>
      </c>
      <c r="B557" t="n">
        <v>4</v>
      </c>
      <c r="C557" t="n">
        <v>28</v>
      </c>
      <c r="D557" t="n">
        <v>1</v>
      </c>
      <c r="E557" t="n">
        <v>42</v>
      </c>
      <c r="F557" t="n">
        <v>0</v>
      </c>
      <c r="G557" t="n">
        <v>106</v>
      </c>
      <c r="H557" t="n">
        <v>0</v>
      </c>
      <c r="I557" t="n">
        <v>475</v>
      </c>
      <c r="J557" t="n">
        <v>0.243032</v>
      </c>
      <c r="K557">
        <f>RANK(J557,$J$2:$J$601,1)</f>
        <v/>
      </c>
      <c r="L557">
        <f>IF(K557&lt;=60,1,0)</f>
        <v/>
      </c>
      <c r="M557">
        <f>IF(MOD(A557-7,10)=0,1,0)</f>
        <v/>
      </c>
      <c r="N557">
        <f>COUNTIFS($B$2:$B$601,B557,$J$2:$J$601,"&lt;"&amp;J557)+1</f>
        <v/>
      </c>
      <c r="O557">
        <f>ROUND(COUNTIF($B$2:$B$601,B557)/600*60,0)</f>
        <v/>
      </c>
      <c r="P557">
        <f>IF(N557&lt;=O557,1,0)</f>
        <v/>
      </c>
      <c r="Q557">
        <f>IF(OR(C557=4,C557=15,C557=27),1,0)</f>
        <v/>
      </c>
      <c r="R557">
        <f>IF(I557&lt;=60,1,0)</f>
        <v/>
      </c>
    </row>
    <row r="558">
      <c r="A558" t="n">
        <v>557</v>
      </c>
      <c r="B558" t="n">
        <v>4</v>
      </c>
      <c r="C558" t="n">
        <v>28</v>
      </c>
      <c r="D558" t="n">
        <v>2</v>
      </c>
      <c r="E558" t="n">
        <v>71</v>
      </c>
      <c r="F558" t="n">
        <v>1</v>
      </c>
      <c r="G558" t="n">
        <v>127</v>
      </c>
      <c r="H558" t="n">
        <v>0</v>
      </c>
      <c r="I558" t="n">
        <v>76</v>
      </c>
      <c r="J558" t="n">
        <v>0.231685</v>
      </c>
      <c r="K558">
        <f>RANK(J558,$J$2:$J$601,1)</f>
        <v/>
      </c>
      <c r="L558">
        <f>IF(K558&lt;=60,1,0)</f>
        <v/>
      </c>
      <c r="M558">
        <f>IF(MOD(A558-7,10)=0,1,0)</f>
        <v/>
      </c>
      <c r="N558">
        <f>COUNTIFS($B$2:$B$601,B558,$J$2:$J$601,"&lt;"&amp;J558)+1</f>
        <v/>
      </c>
      <c r="O558">
        <f>ROUND(COUNTIF($B$2:$B$601,B558)/600*60,0)</f>
        <v/>
      </c>
      <c r="P558">
        <f>IF(N558&lt;=O558,1,0)</f>
        <v/>
      </c>
      <c r="Q558">
        <f>IF(OR(C558=4,C558=15,C558=27),1,0)</f>
        <v/>
      </c>
      <c r="R558">
        <f>IF(I558&lt;=60,1,0)</f>
        <v/>
      </c>
    </row>
    <row r="559">
      <c r="A559" t="n">
        <v>558</v>
      </c>
      <c r="B559" t="n">
        <v>4</v>
      </c>
      <c r="C559" t="n">
        <v>28</v>
      </c>
      <c r="D559" t="n">
        <v>1</v>
      </c>
      <c r="E559" t="n">
        <v>73</v>
      </c>
      <c r="F559" t="n">
        <v>0</v>
      </c>
      <c r="G559" t="n">
        <v>133</v>
      </c>
      <c r="H559" t="n">
        <v>0</v>
      </c>
      <c r="I559" t="n">
        <v>169</v>
      </c>
      <c r="J559" t="n">
        <v>0.9118270000000001</v>
      </c>
      <c r="K559">
        <f>RANK(J559,$J$2:$J$601,1)</f>
        <v/>
      </c>
      <c r="L559">
        <f>IF(K559&lt;=60,1,0)</f>
        <v/>
      </c>
      <c r="M559">
        <f>IF(MOD(A559-7,10)=0,1,0)</f>
        <v/>
      </c>
      <c r="N559">
        <f>COUNTIFS($B$2:$B$601,B559,$J$2:$J$601,"&lt;"&amp;J559)+1</f>
        <v/>
      </c>
      <c r="O559">
        <f>ROUND(COUNTIF($B$2:$B$601,B559)/600*60,0)</f>
        <v/>
      </c>
      <c r="P559">
        <f>IF(N559&lt;=O559,1,0)</f>
        <v/>
      </c>
      <c r="Q559">
        <f>IF(OR(C559=4,C559=15,C559=27),1,0)</f>
        <v/>
      </c>
      <c r="R559">
        <f>IF(I559&lt;=60,1,0)</f>
        <v/>
      </c>
    </row>
    <row r="560">
      <c r="A560" t="n">
        <v>559</v>
      </c>
      <c r="B560" t="n">
        <v>4</v>
      </c>
      <c r="C560" t="n">
        <v>28</v>
      </c>
      <c r="D560" t="n">
        <v>2</v>
      </c>
      <c r="E560" t="n">
        <v>36</v>
      </c>
      <c r="F560" t="n">
        <v>0</v>
      </c>
      <c r="G560" t="n">
        <v>109</v>
      </c>
      <c r="H560" t="n">
        <v>0</v>
      </c>
      <c r="I560" t="n">
        <v>477</v>
      </c>
      <c r="J560" t="n">
        <v>0.811629</v>
      </c>
      <c r="K560">
        <f>RANK(J560,$J$2:$J$601,1)</f>
        <v/>
      </c>
      <c r="L560">
        <f>IF(K560&lt;=60,1,0)</f>
        <v/>
      </c>
      <c r="M560">
        <f>IF(MOD(A560-7,10)=0,1,0)</f>
        <v/>
      </c>
      <c r="N560">
        <f>COUNTIFS($B$2:$B$601,B560,$J$2:$J$601,"&lt;"&amp;J560)+1</f>
        <v/>
      </c>
      <c r="O560">
        <f>ROUND(COUNTIF($B$2:$B$601,B560)/600*60,0)</f>
        <v/>
      </c>
      <c r="P560">
        <f>IF(N560&lt;=O560,1,0)</f>
        <v/>
      </c>
      <c r="Q560">
        <f>IF(OR(C560=4,C560=15,C560=27),1,0)</f>
        <v/>
      </c>
      <c r="R560">
        <f>IF(I560&lt;=60,1,0)</f>
        <v/>
      </c>
    </row>
    <row r="561">
      <c r="A561" t="n">
        <v>560</v>
      </c>
      <c r="B561" t="n">
        <v>4</v>
      </c>
      <c r="C561" t="n">
        <v>28</v>
      </c>
      <c r="D561" t="n">
        <v>2</v>
      </c>
      <c r="E561" t="n">
        <v>47</v>
      </c>
      <c r="F561" t="n">
        <v>0</v>
      </c>
      <c r="G561" t="n">
        <v>111</v>
      </c>
      <c r="H561" t="n">
        <v>0</v>
      </c>
      <c r="I561" t="n">
        <v>439</v>
      </c>
      <c r="J561" t="n">
        <v>0.671081</v>
      </c>
      <c r="K561">
        <f>RANK(J561,$J$2:$J$601,1)</f>
        <v/>
      </c>
      <c r="L561">
        <f>IF(K561&lt;=60,1,0)</f>
        <v/>
      </c>
      <c r="M561">
        <f>IF(MOD(A561-7,10)=0,1,0)</f>
        <v/>
      </c>
      <c r="N561">
        <f>COUNTIFS($B$2:$B$601,B561,$J$2:$J$601,"&lt;"&amp;J561)+1</f>
        <v/>
      </c>
      <c r="O561">
        <f>ROUND(COUNTIF($B$2:$B$601,B561)/600*60,0)</f>
        <v/>
      </c>
      <c r="P561">
        <f>IF(N561&lt;=O561,1,0)</f>
        <v/>
      </c>
      <c r="Q561">
        <f>IF(OR(C561=4,C561=15,C561=27),1,0)</f>
        <v/>
      </c>
      <c r="R561">
        <f>IF(I561&lt;=60,1,0)</f>
        <v/>
      </c>
    </row>
    <row r="562">
      <c r="A562" t="n">
        <v>561</v>
      </c>
      <c r="B562" t="n">
        <v>4</v>
      </c>
      <c r="C562" t="n">
        <v>29</v>
      </c>
      <c r="D562" t="n">
        <v>1</v>
      </c>
      <c r="E562" t="n">
        <v>59</v>
      </c>
      <c r="F562" t="n">
        <v>0</v>
      </c>
      <c r="G562" t="n">
        <v>131</v>
      </c>
      <c r="H562" t="n">
        <v>0</v>
      </c>
      <c r="I562" t="n">
        <v>387</v>
      </c>
      <c r="J562" t="n">
        <v>0.333796</v>
      </c>
      <c r="K562">
        <f>RANK(J562,$J$2:$J$601,1)</f>
        <v/>
      </c>
      <c r="L562">
        <f>IF(K562&lt;=60,1,0)</f>
        <v/>
      </c>
      <c r="M562">
        <f>IF(MOD(A562-7,10)=0,1,0)</f>
        <v/>
      </c>
      <c r="N562">
        <f>COUNTIFS($B$2:$B$601,B562,$J$2:$J$601,"&lt;"&amp;J562)+1</f>
        <v/>
      </c>
      <c r="O562">
        <f>ROUND(COUNTIF($B$2:$B$601,B562)/600*60,0)</f>
        <v/>
      </c>
      <c r="P562">
        <f>IF(N562&lt;=O562,1,0)</f>
        <v/>
      </c>
      <c r="Q562">
        <f>IF(OR(C562=4,C562=15,C562=27),1,0)</f>
        <v/>
      </c>
      <c r="R562">
        <f>IF(I562&lt;=60,1,0)</f>
        <v/>
      </c>
    </row>
    <row r="563">
      <c r="A563" t="n">
        <v>562</v>
      </c>
      <c r="B563" t="n">
        <v>4</v>
      </c>
      <c r="C563" t="n">
        <v>29</v>
      </c>
      <c r="D563" t="n">
        <v>1</v>
      </c>
      <c r="E563" t="n">
        <v>35</v>
      </c>
      <c r="F563" t="n">
        <v>0</v>
      </c>
      <c r="G563" t="n">
        <v>131</v>
      </c>
      <c r="H563" t="n">
        <v>0</v>
      </c>
      <c r="I563" t="n">
        <v>583</v>
      </c>
      <c r="J563" t="n">
        <v>0.456344</v>
      </c>
      <c r="K563">
        <f>RANK(J563,$J$2:$J$601,1)</f>
        <v/>
      </c>
      <c r="L563">
        <f>IF(K563&lt;=60,1,0)</f>
        <v/>
      </c>
      <c r="M563">
        <f>IF(MOD(A563-7,10)=0,1,0)</f>
        <v/>
      </c>
      <c r="N563">
        <f>COUNTIFS($B$2:$B$601,B563,$J$2:$J$601,"&lt;"&amp;J563)+1</f>
        <v/>
      </c>
      <c r="O563">
        <f>ROUND(COUNTIF($B$2:$B$601,B563)/600*60,0)</f>
        <v/>
      </c>
      <c r="P563">
        <f>IF(N563&lt;=O563,1,0)</f>
        <v/>
      </c>
      <c r="Q563">
        <f>IF(OR(C563=4,C563=15,C563=27),1,0)</f>
        <v/>
      </c>
      <c r="R563">
        <f>IF(I563&lt;=60,1,0)</f>
        <v/>
      </c>
    </row>
    <row r="564">
      <c r="A564" t="n">
        <v>563</v>
      </c>
      <c r="B564" t="n">
        <v>4</v>
      </c>
      <c r="C564" t="n">
        <v>29</v>
      </c>
      <c r="D564" t="n">
        <v>1</v>
      </c>
      <c r="E564" t="n">
        <v>68</v>
      </c>
      <c r="F564" t="n">
        <v>0</v>
      </c>
      <c r="G564" t="n">
        <v>128</v>
      </c>
      <c r="H564" t="n">
        <v>0</v>
      </c>
      <c r="I564" t="n">
        <v>300</v>
      </c>
      <c r="J564" t="n">
        <v>0.959834</v>
      </c>
      <c r="K564">
        <f>RANK(J564,$J$2:$J$601,1)</f>
        <v/>
      </c>
      <c r="L564">
        <f>IF(K564&lt;=60,1,0)</f>
        <v/>
      </c>
      <c r="M564">
        <f>IF(MOD(A564-7,10)=0,1,0)</f>
        <v/>
      </c>
      <c r="N564">
        <f>COUNTIFS($B$2:$B$601,B564,$J$2:$J$601,"&lt;"&amp;J564)+1</f>
        <v/>
      </c>
      <c r="O564">
        <f>ROUND(COUNTIF($B$2:$B$601,B564)/600*60,0)</f>
        <v/>
      </c>
      <c r="P564">
        <f>IF(N564&lt;=O564,1,0)</f>
        <v/>
      </c>
      <c r="Q564">
        <f>IF(OR(C564=4,C564=15,C564=27),1,0)</f>
        <v/>
      </c>
      <c r="R564">
        <f>IF(I564&lt;=60,1,0)</f>
        <v/>
      </c>
    </row>
    <row r="565">
      <c r="A565" t="n">
        <v>564</v>
      </c>
      <c r="B565" t="n">
        <v>4</v>
      </c>
      <c r="C565" t="n">
        <v>29</v>
      </c>
      <c r="D565" t="n">
        <v>2</v>
      </c>
      <c r="E565" t="n">
        <v>63</v>
      </c>
      <c r="F565" t="n">
        <v>0</v>
      </c>
      <c r="G565" t="n">
        <v>114</v>
      </c>
      <c r="H565" t="n">
        <v>0</v>
      </c>
      <c r="I565" t="n">
        <v>394</v>
      </c>
      <c r="J565" t="n">
        <v>0.177726</v>
      </c>
      <c r="K565">
        <f>RANK(J565,$J$2:$J$601,1)</f>
        <v/>
      </c>
      <c r="L565">
        <f>IF(K565&lt;=60,1,0)</f>
        <v/>
      </c>
      <c r="M565">
        <f>IF(MOD(A565-7,10)=0,1,0)</f>
        <v/>
      </c>
      <c r="N565">
        <f>COUNTIFS($B$2:$B$601,B565,$J$2:$J$601,"&lt;"&amp;J565)+1</f>
        <v/>
      </c>
      <c r="O565">
        <f>ROUND(COUNTIF($B$2:$B$601,B565)/600*60,0)</f>
        <v/>
      </c>
      <c r="P565">
        <f>IF(N565&lt;=O565,1,0)</f>
        <v/>
      </c>
      <c r="Q565">
        <f>IF(OR(C565=4,C565=15,C565=27),1,0)</f>
        <v/>
      </c>
      <c r="R565">
        <f>IF(I565&lt;=60,1,0)</f>
        <v/>
      </c>
    </row>
    <row r="566">
      <c r="A566" t="n">
        <v>565</v>
      </c>
      <c r="B566" t="n">
        <v>4</v>
      </c>
      <c r="C566" t="n">
        <v>29</v>
      </c>
      <c r="D566" t="n">
        <v>1</v>
      </c>
      <c r="E566" t="n">
        <v>77</v>
      </c>
      <c r="F566" t="n">
        <v>0</v>
      </c>
      <c r="G566" t="n">
        <v>145</v>
      </c>
      <c r="H566" t="n">
        <v>1</v>
      </c>
      <c r="I566" t="n">
        <v>46</v>
      </c>
      <c r="J566" t="n">
        <v>0.386576</v>
      </c>
      <c r="K566">
        <f>RANK(J566,$J$2:$J$601,1)</f>
        <v/>
      </c>
      <c r="L566">
        <f>IF(K566&lt;=60,1,0)</f>
        <v/>
      </c>
      <c r="M566">
        <f>IF(MOD(A566-7,10)=0,1,0)</f>
        <v/>
      </c>
      <c r="N566">
        <f>COUNTIFS($B$2:$B$601,B566,$J$2:$J$601,"&lt;"&amp;J566)+1</f>
        <v/>
      </c>
      <c r="O566">
        <f>ROUND(COUNTIF($B$2:$B$601,B566)/600*60,0)</f>
        <v/>
      </c>
      <c r="P566">
        <f>IF(N566&lt;=O566,1,0)</f>
        <v/>
      </c>
      <c r="Q566">
        <f>IF(OR(C566=4,C566=15,C566=27),1,0)</f>
        <v/>
      </c>
      <c r="R566">
        <f>IF(I566&lt;=60,1,0)</f>
        <v/>
      </c>
    </row>
    <row r="567">
      <c r="A567" t="n">
        <v>566</v>
      </c>
      <c r="B567" t="n">
        <v>4</v>
      </c>
      <c r="C567" t="n">
        <v>29</v>
      </c>
      <c r="D567" t="n">
        <v>1</v>
      </c>
      <c r="E567" t="n">
        <v>32</v>
      </c>
      <c r="F567" t="n">
        <v>0</v>
      </c>
      <c r="G567" t="n">
        <v>103</v>
      </c>
      <c r="H567" t="n">
        <v>0</v>
      </c>
      <c r="I567" t="n">
        <v>461</v>
      </c>
      <c r="J567" t="n">
        <v>0.907323</v>
      </c>
      <c r="K567">
        <f>RANK(J567,$J$2:$J$601,1)</f>
        <v/>
      </c>
      <c r="L567">
        <f>IF(K567&lt;=60,1,0)</f>
        <v/>
      </c>
      <c r="M567">
        <f>IF(MOD(A567-7,10)=0,1,0)</f>
        <v/>
      </c>
      <c r="N567">
        <f>COUNTIFS($B$2:$B$601,B567,$J$2:$J$601,"&lt;"&amp;J567)+1</f>
        <v/>
      </c>
      <c r="O567">
        <f>ROUND(COUNTIF($B$2:$B$601,B567)/600*60,0)</f>
        <v/>
      </c>
      <c r="P567">
        <f>IF(N567&lt;=O567,1,0)</f>
        <v/>
      </c>
      <c r="Q567">
        <f>IF(OR(C567=4,C567=15,C567=27),1,0)</f>
        <v/>
      </c>
      <c r="R567">
        <f>IF(I567&lt;=60,1,0)</f>
        <v/>
      </c>
    </row>
    <row r="568">
      <c r="A568" t="n">
        <v>567</v>
      </c>
      <c r="B568" t="n">
        <v>4</v>
      </c>
      <c r="C568" t="n">
        <v>29</v>
      </c>
      <c r="D568" t="n">
        <v>2</v>
      </c>
      <c r="E568" t="n">
        <v>32</v>
      </c>
      <c r="F568" t="n">
        <v>0</v>
      </c>
      <c r="G568" t="n">
        <v>90</v>
      </c>
      <c r="H568" t="n">
        <v>0</v>
      </c>
      <c r="I568" t="n">
        <v>558</v>
      </c>
      <c r="J568" t="n">
        <v>0.750779</v>
      </c>
      <c r="K568">
        <f>RANK(J568,$J$2:$J$601,1)</f>
        <v/>
      </c>
      <c r="L568">
        <f>IF(K568&lt;=60,1,0)</f>
        <v/>
      </c>
      <c r="M568">
        <f>IF(MOD(A568-7,10)=0,1,0)</f>
        <v/>
      </c>
      <c r="N568">
        <f>COUNTIFS($B$2:$B$601,B568,$J$2:$J$601,"&lt;"&amp;J568)+1</f>
        <v/>
      </c>
      <c r="O568">
        <f>ROUND(COUNTIF($B$2:$B$601,B568)/600*60,0)</f>
        <v/>
      </c>
      <c r="P568">
        <f>IF(N568&lt;=O568,1,0)</f>
        <v/>
      </c>
      <c r="Q568">
        <f>IF(OR(C568=4,C568=15,C568=27),1,0)</f>
        <v/>
      </c>
      <c r="R568">
        <f>IF(I568&lt;=60,1,0)</f>
        <v/>
      </c>
    </row>
    <row r="569">
      <c r="A569" t="n">
        <v>568</v>
      </c>
      <c r="B569" t="n">
        <v>4</v>
      </c>
      <c r="C569" t="n">
        <v>29</v>
      </c>
      <c r="D569" t="n">
        <v>1</v>
      </c>
      <c r="E569" t="n">
        <v>53</v>
      </c>
      <c r="F569" t="n">
        <v>0</v>
      </c>
      <c r="G569" t="n">
        <v>123</v>
      </c>
      <c r="H569" t="n">
        <v>0</v>
      </c>
      <c r="I569" t="n">
        <v>564</v>
      </c>
      <c r="J569" t="n">
        <v>0.205803</v>
      </c>
      <c r="K569">
        <f>RANK(J569,$J$2:$J$601,1)</f>
        <v/>
      </c>
      <c r="L569">
        <f>IF(K569&lt;=60,1,0)</f>
        <v/>
      </c>
      <c r="M569">
        <f>IF(MOD(A569-7,10)=0,1,0)</f>
        <v/>
      </c>
      <c r="N569">
        <f>COUNTIFS($B$2:$B$601,B569,$J$2:$J$601,"&lt;"&amp;J569)+1</f>
        <v/>
      </c>
      <c r="O569">
        <f>ROUND(COUNTIF($B$2:$B$601,B569)/600*60,0)</f>
        <v/>
      </c>
      <c r="P569">
        <f>IF(N569&lt;=O569,1,0)</f>
        <v/>
      </c>
      <c r="Q569">
        <f>IF(OR(C569=4,C569=15,C569=27),1,0)</f>
        <v/>
      </c>
      <c r="R569">
        <f>IF(I569&lt;=60,1,0)</f>
        <v/>
      </c>
    </row>
    <row r="570">
      <c r="A570" t="n">
        <v>569</v>
      </c>
      <c r="B570" t="n">
        <v>4</v>
      </c>
      <c r="C570" t="n">
        <v>29</v>
      </c>
      <c r="D570" t="n">
        <v>2</v>
      </c>
      <c r="E570" t="n">
        <v>78</v>
      </c>
      <c r="F570" t="n">
        <v>0</v>
      </c>
      <c r="G570" t="n">
        <v>145</v>
      </c>
      <c r="H570" t="n">
        <v>1</v>
      </c>
      <c r="I570" t="n">
        <v>148</v>
      </c>
      <c r="J570" t="n">
        <v>0.174816</v>
      </c>
      <c r="K570">
        <f>RANK(J570,$J$2:$J$601,1)</f>
        <v/>
      </c>
      <c r="L570">
        <f>IF(K570&lt;=60,1,0)</f>
        <v/>
      </c>
      <c r="M570">
        <f>IF(MOD(A570-7,10)=0,1,0)</f>
        <v/>
      </c>
      <c r="N570">
        <f>COUNTIFS($B$2:$B$601,B570,$J$2:$J$601,"&lt;"&amp;J570)+1</f>
        <v/>
      </c>
      <c r="O570">
        <f>ROUND(COUNTIF($B$2:$B$601,B570)/600*60,0)</f>
        <v/>
      </c>
      <c r="P570">
        <f>IF(N570&lt;=O570,1,0)</f>
        <v/>
      </c>
      <c r="Q570">
        <f>IF(OR(C570=4,C570=15,C570=27),1,0)</f>
        <v/>
      </c>
      <c r="R570">
        <f>IF(I570&lt;=60,1,0)</f>
        <v/>
      </c>
    </row>
    <row r="571">
      <c r="A571" t="n">
        <v>570</v>
      </c>
      <c r="B571" t="n">
        <v>4</v>
      </c>
      <c r="C571" t="n">
        <v>29</v>
      </c>
      <c r="D571" t="n">
        <v>2</v>
      </c>
      <c r="E571" t="n">
        <v>78</v>
      </c>
      <c r="F571" t="n">
        <v>0</v>
      </c>
      <c r="G571" t="n">
        <v>162</v>
      </c>
      <c r="H571" t="n">
        <v>1</v>
      </c>
      <c r="I571" t="n">
        <v>31</v>
      </c>
      <c r="J571" t="n">
        <v>0.545134</v>
      </c>
      <c r="K571">
        <f>RANK(J571,$J$2:$J$601,1)</f>
        <v/>
      </c>
      <c r="L571">
        <f>IF(K571&lt;=60,1,0)</f>
        <v/>
      </c>
      <c r="M571">
        <f>IF(MOD(A571-7,10)=0,1,0)</f>
        <v/>
      </c>
      <c r="N571">
        <f>COUNTIFS($B$2:$B$601,B571,$J$2:$J$601,"&lt;"&amp;J571)+1</f>
        <v/>
      </c>
      <c r="O571">
        <f>ROUND(COUNTIF($B$2:$B$601,B571)/600*60,0)</f>
        <v/>
      </c>
      <c r="P571">
        <f>IF(N571&lt;=O571,1,0)</f>
        <v/>
      </c>
      <c r="Q571">
        <f>IF(OR(C571=4,C571=15,C571=27),1,0)</f>
        <v/>
      </c>
      <c r="R571">
        <f>IF(I571&lt;=60,1,0)</f>
        <v/>
      </c>
    </row>
    <row r="572">
      <c r="A572" t="n">
        <v>571</v>
      </c>
      <c r="B572" t="n">
        <v>4</v>
      </c>
      <c r="C572" t="n">
        <v>29</v>
      </c>
      <c r="D572" t="n">
        <v>1</v>
      </c>
      <c r="E572" t="n">
        <v>71</v>
      </c>
      <c r="F572" t="n">
        <v>0</v>
      </c>
      <c r="G572" t="n">
        <v>119</v>
      </c>
      <c r="H572" t="n">
        <v>0</v>
      </c>
      <c r="I572" t="n">
        <v>389</v>
      </c>
      <c r="J572" t="n">
        <v>0.7504729999999999</v>
      </c>
      <c r="K572">
        <f>RANK(J572,$J$2:$J$601,1)</f>
        <v/>
      </c>
      <c r="L572">
        <f>IF(K572&lt;=60,1,0)</f>
        <v/>
      </c>
      <c r="M572">
        <f>IF(MOD(A572-7,10)=0,1,0)</f>
        <v/>
      </c>
      <c r="N572">
        <f>COUNTIFS($B$2:$B$601,B572,$J$2:$J$601,"&lt;"&amp;J572)+1</f>
        <v/>
      </c>
      <c r="O572">
        <f>ROUND(COUNTIF($B$2:$B$601,B572)/600*60,0)</f>
        <v/>
      </c>
      <c r="P572">
        <f>IF(N572&lt;=O572,1,0)</f>
        <v/>
      </c>
      <c r="Q572">
        <f>IF(OR(C572=4,C572=15,C572=27),1,0)</f>
        <v/>
      </c>
      <c r="R572">
        <f>IF(I572&lt;=60,1,0)</f>
        <v/>
      </c>
    </row>
    <row r="573">
      <c r="A573" t="n">
        <v>572</v>
      </c>
      <c r="B573" t="n">
        <v>4</v>
      </c>
      <c r="C573" t="n">
        <v>29</v>
      </c>
      <c r="D573" t="n">
        <v>1</v>
      </c>
      <c r="E573" t="n">
        <v>80</v>
      </c>
      <c r="F573" t="n">
        <v>0</v>
      </c>
      <c r="G573" t="n">
        <v>133</v>
      </c>
      <c r="H573" t="n">
        <v>0</v>
      </c>
      <c r="I573" t="n">
        <v>534</v>
      </c>
      <c r="J573" t="n">
        <v>0.136144</v>
      </c>
      <c r="K573">
        <f>RANK(J573,$J$2:$J$601,1)</f>
        <v/>
      </c>
      <c r="L573">
        <f>IF(K573&lt;=60,1,0)</f>
        <v/>
      </c>
      <c r="M573">
        <f>IF(MOD(A573-7,10)=0,1,0)</f>
        <v/>
      </c>
      <c r="N573">
        <f>COUNTIFS($B$2:$B$601,B573,$J$2:$J$601,"&lt;"&amp;J573)+1</f>
        <v/>
      </c>
      <c r="O573">
        <f>ROUND(COUNTIF($B$2:$B$601,B573)/600*60,0)</f>
        <v/>
      </c>
      <c r="P573">
        <f>IF(N573&lt;=O573,1,0)</f>
        <v/>
      </c>
      <c r="Q573">
        <f>IF(OR(C573=4,C573=15,C573=27),1,0)</f>
        <v/>
      </c>
      <c r="R573">
        <f>IF(I573&lt;=60,1,0)</f>
        <v/>
      </c>
    </row>
    <row r="574">
      <c r="A574" t="n">
        <v>573</v>
      </c>
      <c r="B574" t="n">
        <v>4</v>
      </c>
      <c r="C574" t="n">
        <v>29</v>
      </c>
      <c r="D574" t="n">
        <v>2</v>
      </c>
      <c r="E574" t="n">
        <v>37</v>
      </c>
      <c r="F574" t="n">
        <v>0</v>
      </c>
      <c r="G574" t="n">
        <v>128</v>
      </c>
      <c r="H574" t="n">
        <v>0</v>
      </c>
      <c r="I574" t="n">
        <v>474</v>
      </c>
      <c r="J574" t="n">
        <v>0.243589</v>
      </c>
      <c r="K574">
        <f>RANK(J574,$J$2:$J$601,1)</f>
        <v/>
      </c>
      <c r="L574">
        <f>IF(K574&lt;=60,1,0)</f>
        <v/>
      </c>
      <c r="M574">
        <f>IF(MOD(A574-7,10)=0,1,0)</f>
        <v/>
      </c>
      <c r="N574">
        <f>COUNTIFS($B$2:$B$601,B574,$J$2:$J$601,"&lt;"&amp;J574)+1</f>
        <v/>
      </c>
      <c r="O574">
        <f>ROUND(COUNTIF($B$2:$B$601,B574)/600*60,0)</f>
        <v/>
      </c>
      <c r="P574">
        <f>IF(N574&lt;=O574,1,0)</f>
        <v/>
      </c>
      <c r="Q574">
        <f>IF(OR(C574=4,C574=15,C574=27),1,0)</f>
        <v/>
      </c>
      <c r="R574">
        <f>IF(I574&lt;=60,1,0)</f>
        <v/>
      </c>
    </row>
    <row r="575">
      <c r="A575" t="n">
        <v>574</v>
      </c>
      <c r="B575" t="n">
        <v>4</v>
      </c>
      <c r="C575" t="n">
        <v>29</v>
      </c>
      <c r="D575" t="n">
        <v>2</v>
      </c>
      <c r="E575" t="n">
        <v>42</v>
      </c>
      <c r="F575" t="n">
        <v>0</v>
      </c>
      <c r="G575" t="n">
        <v>111</v>
      </c>
      <c r="H575" t="n">
        <v>0</v>
      </c>
      <c r="I575" t="n">
        <v>249</v>
      </c>
      <c r="J575" t="n">
        <v>0.747641</v>
      </c>
      <c r="K575">
        <f>RANK(J575,$J$2:$J$601,1)</f>
        <v/>
      </c>
      <c r="L575">
        <f>IF(K575&lt;=60,1,0)</f>
        <v/>
      </c>
      <c r="M575">
        <f>IF(MOD(A575-7,10)=0,1,0)</f>
        <v/>
      </c>
      <c r="N575">
        <f>COUNTIFS($B$2:$B$601,B575,$J$2:$J$601,"&lt;"&amp;J575)+1</f>
        <v/>
      </c>
      <c r="O575">
        <f>ROUND(COUNTIF($B$2:$B$601,B575)/600*60,0)</f>
        <v/>
      </c>
      <c r="P575">
        <f>IF(N575&lt;=O575,1,0)</f>
        <v/>
      </c>
      <c r="Q575">
        <f>IF(OR(C575=4,C575=15,C575=27),1,0)</f>
        <v/>
      </c>
      <c r="R575">
        <f>IF(I575&lt;=60,1,0)</f>
        <v/>
      </c>
    </row>
    <row r="576">
      <c r="A576" t="n">
        <v>575</v>
      </c>
      <c r="B576" t="n">
        <v>4</v>
      </c>
      <c r="C576" t="n">
        <v>29</v>
      </c>
      <c r="D576" t="n">
        <v>2</v>
      </c>
      <c r="E576" t="n">
        <v>59</v>
      </c>
      <c r="F576" t="n">
        <v>0</v>
      </c>
      <c r="G576" t="n">
        <v>132</v>
      </c>
      <c r="H576" t="n">
        <v>0</v>
      </c>
      <c r="I576" t="n">
        <v>422</v>
      </c>
      <c r="J576" t="n">
        <v>0.611812</v>
      </c>
      <c r="K576">
        <f>RANK(J576,$J$2:$J$601,1)</f>
        <v/>
      </c>
      <c r="L576">
        <f>IF(K576&lt;=60,1,0)</f>
        <v/>
      </c>
      <c r="M576">
        <f>IF(MOD(A576-7,10)=0,1,0)</f>
        <v/>
      </c>
      <c r="N576">
        <f>COUNTIFS($B$2:$B$601,B576,$J$2:$J$601,"&lt;"&amp;J576)+1</f>
        <v/>
      </c>
      <c r="O576">
        <f>ROUND(COUNTIF($B$2:$B$601,B576)/600*60,0)</f>
        <v/>
      </c>
      <c r="P576">
        <f>IF(N576&lt;=O576,1,0)</f>
        <v/>
      </c>
      <c r="Q576">
        <f>IF(OR(C576=4,C576=15,C576=27),1,0)</f>
        <v/>
      </c>
      <c r="R576">
        <f>IF(I576&lt;=60,1,0)</f>
        <v/>
      </c>
    </row>
    <row r="577">
      <c r="A577" t="n">
        <v>576</v>
      </c>
      <c r="B577" t="n">
        <v>4</v>
      </c>
      <c r="C577" t="n">
        <v>29</v>
      </c>
      <c r="D577" t="n">
        <v>2</v>
      </c>
      <c r="E577" t="n">
        <v>40</v>
      </c>
      <c r="F577" t="n">
        <v>0</v>
      </c>
      <c r="G577" t="n">
        <v>122</v>
      </c>
      <c r="H577" t="n">
        <v>0</v>
      </c>
      <c r="I577" t="n">
        <v>396</v>
      </c>
      <c r="J577" t="n">
        <v>0.109062</v>
      </c>
      <c r="K577">
        <f>RANK(J577,$J$2:$J$601,1)</f>
        <v/>
      </c>
      <c r="L577">
        <f>IF(K577&lt;=60,1,0)</f>
        <v/>
      </c>
      <c r="M577">
        <f>IF(MOD(A577-7,10)=0,1,0)</f>
        <v/>
      </c>
      <c r="N577">
        <f>COUNTIFS($B$2:$B$601,B577,$J$2:$J$601,"&lt;"&amp;J577)+1</f>
        <v/>
      </c>
      <c r="O577">
        <f>ROUND(COUNTIF($B$2:$B$601,B577)/600*60,0)</f>
        <v/>
      </c>
      <c r="P577">
        <f>IF(N577&lt;=O577,1,0)</f>
        <v/>
      </c>
      <c r="Q577">
        <f>IF(OR(C577=4,C577=15,C577=27),1,0)</f>
        <v/>
      </c>
      <c r="R577">
        <f>IF(I577&lt;=60,1,0)</f>
        <v/>
      </c>
    </row>
    <row r="578">
      <c r="A578" t="n">
        <v>577</v>
      </c>
      <c r="B578" t="n">
        <v>4</v>
      </c>
      <c r="C578" t="n">
        <v>29</v>
      </c>
      <c r="D578" t="n">
        <v>2</v>
      </c>
      <c r="E578" t="n">
        <v>62</v>
      </c>
      <c r="F578" t="n">
        <v>1</v>
      </c>
      <c r="G578" t="n">
        <v>135</v>
      </c>
      <c r="H578" t="n">
        <v>0</v>
      </c>
      <c r="I578" t="n">
        <v>267</v>
      </c>
      <c r="J578" t="n">
        <v>0.775105</v>
      </c>
      <c r="K578">
        <f>RANK(J578,$J$2:$J$601,1)</f>
        <v/>
      </c>
      <c r="L578">
        <f>IF(K578&lt;=60,1,0)</f>
        <v/>
      </c>
      <c r="M578">
        <f>IF(MOD(A578-7,10)=0,1,0)</f>
        <v/>
      </c>
      <c r="N578">
        <f>COUNTIFS($B$2:$B$601,B578,$J$2:$J$601,"&lt;"&amp;J578)+1</f>
        <v/>
      </c>
      <c r="O578">
        <f>ROUND(COUNTIF($B$2:$B$601,B578)/600*60,0)</f>
        <v/>
      </c>
      <c r="P578">
        <f>IF(N578&lt;=O578,1,0)</f>
        <v/>
      </c>
      <c r="Q578">
        <f>IF(OR(C578=4,C578=15,C578=27),1,0)</f>
        <v/>
      </c>
      <c r="R578">
        <f>IF(I578&lt;=60,1,0)</f>
        <v/>
      </c>
    </row>
    <row r="579">
      <c r="A579" t="n">
        <v>578</v>
      </c>
      <c r="B579" t="n">
        <v>4</v>
      </c>
      <c r="C579" t="n">
        <v>29</v>
      </c>
      <c r="D579" t="n">
        <v>1</v>
      </c>
      <c r="E579" t="n">
        <v>73</v>
      </c>
      <c r="F579" t="n">
        <v>0</v>
      </c>
      <c r="G579" t="n">
        <v>140</v>
      </c>
      <c r="H579" t="n">
        <v>1</v>
      </c>
      <c r="I579" t="n">
        <v>97</v>
      </c>
      <c r="J579" t="n">
        <v>0.490693</v>
      </c>
      <c r="K579">
        <f>RANK(J579,$J$2:$J$601,1)</f>
        <v/>
      </c>
      <c r="L579">
        <f>IF(K579&lt;=60,1,0)</f>
        <v/>
      </c>
      <c r="M579">
        <f>IF(MOD(A579-7,10)=0,1,0)</f>
        <v/>
      </c>
      <c r="N579">
        <f>COUNTIFS($B$2:$B$601,B579,$J$2:$J$601,"&lt;"&amp;J579)+1</f>
        <v/>
      </c>
      <c r="O579">
        <f>ROUND(COUNTIF($B$2:$B$601,B579)/600*60,0)</f>
        <v/>
      </c>
      <c r="P579">
        <f>IF(N579&lt;=O579,1,0)</f>
        <v/>
      </c>
      <c r="Q579">
        <f>IF(OR(C579=4,C579=15,C579=27),1,0)</f>
        <v/>
      </c>
      <c r="R579">
        <f>IF(I579&lt;=60,1,0)</f>
        <v/>
      </c>
    </row>
    <row r="580">
      <c r="A580" t="n">
        <v>579</v>
      </c>
      <c r="B580" t="n">
        <v>4</v>
      </c>
      <c r="C580" t="n">
        <v>29</v>
      </c>
      <c r="D580" t="n">
        <v>1</v>
      </c>
      <c r="E580" t="n">
        <v>34</v>
      </c>
      <c r="F580" t="n">
        <v>0</v>
      </c>
      <c r="G580" t="n">
        <v>114</v>
      </c>
      <c r="H580" t="n">
        <v>0</v>
      </c>
      <c r="I580" t="n">
        <v>593</v>
      </c>
      <c r="J580" t="n">
        <v>0.735063</v>
      </c>
      <c r="K580">
        <f>RANK(J580,$J$2:$J$601,1)</f>
        <v/>
      </c>
      <c r="L580">
        <f>IF(K580&lt;=60,1,0)</f>
        <v/>
      </c>
      <c r="M580">
        <f>IF(MOD(A580-7,10)=0,1,0)</f>
        <v/>
      </c>
      <c r="N580">
        <f>COUNTIFS($B$2:$B$601,B580,$J$2:$J$601,"&lt;"&amp;J580)+1</f>
        <v/>
      </c>
      <c r="O580">
        <f>ROUND(COUNTIF($B$2:$B$601,B580)/600*60,0)</f>
        <v/>
      </c>
      <c r="P580">
        <f>IF(N580&lt;=O580,1,0)</f>
        <v/>
      </c>
      <c r="Q580">
        <f>IF(OR(C580=4,C580=15,C580=27),1,0)</f>
        <v/>
      </c>
      <c r="R580">
        <f>IF(I580&lt;=60,1,0)</f>
        <v/>
      </c>
    </row>
    <row r="581">
      <c r="A581" t="n">
        <v>580</v>
      </c>
      <c r="B581" t="n">
        <v>4</v>
      </c>
      <c r="C581" t="n">
        <v>29</v>
      </c>
      <c r="D581" t="n">
        <v>1</v>
      </c>
      <c r="E581" t="n">
        <v>41</v>
      </c>
      <c r="F581" t="n">
        <v>0</v>
      </c>
      <c r="G581" t="n">
        <v>125</v>
      </c>
      <c r="H581" t="n">
        <v>0</v>
      </c>
      <c r="I581" t="n">
        <v>472</v>
      </c>
      <c r="J581" t="n">
        <v>0.494513</v>
      </c>
      <c r="K581">
        <f>RANK(J581,$J$2:$J$601,1)</f>
        <v/>
      </c>
      <c r="L581">
        <f>IF(K581&lt;=60,1,0)</f>
        <v/>
      </c>
      <c r="M581">
        <f>IF(MOD(A581-7,10)=0,1,0)</f>
        <v/>
      </c>
      <c r="N581">
        <f>COUNTIFS($B$2:$B$601,B581,$J$2:$J$601,"&lt;"&amp;J581)+1</f>
        <v/>
      </c>
      <c r="O581">
        <f>ROUND(COUNTIF($B$2:$B$601,B581)/600*60,0)</f>
        <v/>
      </c>
      <c r="P581">
        <f>IF(N581&lt;=O581,1,0)</f>
        <v/>
      </c>
      <c r="Q581">
        <f>IF(OR(C581=4,C581=15,C581=27),1,0)</f>
        <v/>
      </c>
      <c r="R581">
        <f>IF(I581&lt;=60,1,0)</f>
        <v/>
      </c>
    </row>
    <row r="582">
      <c r="A582" t="n">
        <v>581</v>
      </c>
      <c r="B582" t="n">
        <v>4</v>
      </c>
      <c r="C582" t="n">
        <v>30</v>
      </c>
      <c r="D582" t="n">
        <v>2</v>
      </c>
      <c r="E582" t="n">
        <v>51</v>
      </c>
      <c r="F582" t="n">
        <v>0</v>
      </c>
      <c r="G582" t="n">
        <v>130</v>
      </c>
      <c r="H582" t="n">
        <v>0</v>
      </c>
      <c r="I582" t="n">
        <v>459</v>
      </c>
      <c r="J582" t="n">
        <v>0.681048</v>
      </c>
      <c r="K582">
        <f>RANK(J582,$J$2:$J$601,1)</f>
        <v/>
      </c>
      <c r="L582">
        <f>IF(K582&lt;=60,1,0)</f>
        <v/>
      </c>
      <c r="M582">
        <f>IF(MOD(A582-7,10)=0,1,0)</f>
        <v/>
      </c>
      <c r="N582">
        <f>COUNTIFS($B$2:$B$601,B582,$J$2:$J$601,"&lt;"&amp;J582)+1</f>
        <v/>
      </c>
      <c r="O582">
        <f>ROUND(COUNTIF($B$2:$B$601,B582)/600*60,0)</f>
        <v/>
      </c>
      <c r="P582">
        <f>IF(N582&lt;=O582,1,0)</f>
        <v/>
      </c>
      <c r="Q582">
        <f>IF(OR(C582=4,C582=15,C582=27),1,0)</f>
        <v/>
      </c>
      <c r="R582">
        <f>IF(I582&lt;=60,1,0)</f>
        <v/>
      </c>
    </row>
    <row r="583">
      <c r="A583" t="n">
        <v>582</v>
      </c>
      <c r="B583" t="n">
        <v>4</v>
      </c>
      <c r="C583" t="n">
        <v>30</v>
      </c>
      <c r="D583" t="n">
        <v>2</v>
      </c>
      <c r="E583" t="n">
        <v>49</v>
      </c>
      <c r="F583" t="n">
        <v>1</v>
      </c>
      <c r="G583" t="n">
        <v>113</v>
      </c>
      <c r="H583" t="n">
        <v>0</v>
      </c>
      <c r="I583" t="n">
        <v>210</v>
      </c>
      <c r="J583" t="n">
        <v>0.219699</v>
      </c>
      <c r="K583">
        <f>RANK(J583,$J$2:$J$601,1)</f>
        <v/>
      </c>
      <c r="L583">
        <f>IF(K583&lt;=60,1,0)</f>
        <v/>
      </c>
      <c r="M583">
        <f>IF(MOD(A583-7,10)=0,1,0)</f>
        <v/>
      </c>
      <c r="N583">
        <f>COUNTIFS($B$2:$B$601,B583,$J$2:$J$601,"&lt;"&amp;J583)+1</f>
        <v/>
      </c>
      <c r="O583">
        <f>ROUND(COUNTIF($B$2:$B$601,B583)/600*60,0)</f>
        <v/>
      </c>
      <c r="P583">
        <f>IF(N583&lt;=O583,1,0)</f>
        <v/>
      </c>
      <c r="Q583">
        <f>IF(OR(C583=4,C583=15,C583=27),1,0)</f>
        <v/>
      </c>
      <c r="R583">
        <f>IF(I583&lt;=60,1,0)</f>
        <v/>
      </c>
    </row>
    <row r="584">
      <c r="A584" t="n">
        <v>583</v>
      </c>
      <c r="B584" t="n">
        <v>4</v>
      </c>
      <c r="C584" t="n">
        <v>30</v>
      </c>
      <c r="D584" t="n">
        <v>1</v>
      </c>
      <c r="E584" t="n">
        <v>62</v>
      </c>
      <c r="F584" t="n">
        <v>0</v>
      </c>
      <c r="G584" t="n">
        <v>130</v>
      </c>
      <c r="H584" t="n">
        <v>0</v>
      </c>
      <c r="I584" t="n">
        <v>201</v>
      </c>
      <c r="J584" t="n">
        <v>0.31024</v>
      </c>
      <c r="K584">
        <f>RANK(J584,$J$2:$J$601,1)</f>
        <v/>
      </c>
      <c r="L584">
        <f>IF(K584&lt;=60,1,0)</f>
        <v/>
      </c>
      <c r="M584">
        <f>IF(MOD(A584-7,10)=0,1,0)</f>
        <v/>
      </c>
      <c r="N584">
        <f>COUNTIFS($B$2:$B$601,B584,$J$2:$J$601,"&lt;"&amp;J584)+1</f>
        <v/>
      </c>
      <c r="O584">
        <f>ROUND(COUNTIF($B$2:$B$601,B584)/600*60,0)</f>
        <v/>
      </c>
      <c r="P584">
        <f>IF(N584&lt;=O584,1,0)</f>
        <v/>
      </c>
      <c r="Q584">
        <f>IF(OR(C584=4,C584=15,C584=27),1,0)</f>
        <v/>
      </c>
      <c r="R584">
        <f>IF(I584&lt;=60,1,0)</f>
        <v/>
      </c>
    </row>
    <row r="585">
      <c r="A585" t="n">
        <v>584</v>
      </c>
      <c r="B585" t="n">
        <v>4</v>
      </c>
      <c r="C585" t="n">
        <v>30</v>
      </c>
      <c r="D585" t="n">
        <v>1</v>
      </c>
      <c r="E585" t="n">
        <v>42</v>
      </c>
      <c r="F585" t="n">
        <v>0</v>
      </c>
      <c r="G585" t="n">
        <v>119</v>
      </c>
      <c r="H585" t="n">
        <v>0</v>
      </c>
      <c r="I585" t="n">
        <v>546</v>
      </c>
      <c r="J585" t="n">
        <v>0.425735</v>
      </c>
      <c r="K585">
        <f>RANK(J585,$J$2:$J$601,1)</f>
        <v/>
      </c>
      <c r="L585">
        <f>IF(K585&lt;=60,1,0)</f>
        <v/>
      </c>
      <c r="M585">
        <f>IF(MOD(A585-7,10)=0,1,0)</f>
        <v/>
      </c>
      <c r="N585">
        <f>COUNTIFS($B$2:$B$601,B585,$J$2:$J$601,"&lt;"&amp;J585)+1</f>
        <v/>
      </c>
      <c r="O585">
        <f>ROUND(COUNTIF($B$2:$B$601,B585)/600*60,0)</f>
        <v/>
      </c>
      <c r="P585">
        <f>IF(N585&lt;=O585,1,0)</f>
        <v/>
      </c>
      <c r="Q585">
        <f>IF(OR(C585=4,C585=15,C585=27),1,0)</f>
        <v/>
      </c>
      <c r="R585">
        <f>IF(I585&lt;=60,1,0)</f>
        <v/>
      </c>
    </row>
    <row r="586">
      <c r="A586" t="n">
        <v>585</v>
      </c>
      <c r="B586" t="n">
        <v>4</v>
      </c>
      <c r="C586" t="n">
        <v>30</v>
      </c>
      <c r="D586" t="n">
        <v>2</v>
      </c>
      <c r="E586" t="n">
        <v>36</v>
      </c>
      <c r="F586" t="n">
        <v>0</v>
      </c>
      <c r="G586" t="n">
        <v>125</v>
      </c>
      <c r="H586" t="n">
        <v>0</v>
      </c>
      <c r="I586" t="n">
        <v>492</v>
      </c>
      <c r="J586" t="n">
        <v>0.994147</v>
      </c>
      <c r="K586">
        <f>RANK(J586,$J$2:$J$601,1)</f>
        <v/>
      </c>
      <c r="L586">
        <f>IF(K586&lt;=60,1,0)</f>
        <v/>
      </c>
      <c r="M586">
        <f>IF(MOD(A586-7,10)=0,1,0)</f>
        <v/>
      </c>
      <c r="N586">
        <f>COUNTIFS($B$2:$B$601,B586,$J$2:$J$601,"&lt;"&amp;J586)+1</f>
        <v/>
      </c>
      <c r="O586">
        <f>ROUND(COUNTIF($B$2:$B$601,B586)/600*60,0)</f>
        <v/>
      </c>
      <c r="P586">
        <f>IF(N586&lt;=O586,1,0)</f>
        <v/>
      </c>
      <c r="Q586">
        <f>IF(OR(C586=4,C586=15,C586=27),1,0)</f>
        <v/>
      </c>
      <c r="R586">
        <f>IF(I586&lt;=60,1,0)</f>
        <v/>
      </c>
    </row>
    <row r="587">
      <c r="A587" t="n">
        <v>586</v>
      </c>
      <c r="B587" t="n">
        <v>4</v>
      </c>
      <c r="C587" t="n">
        <v>30</v>
      </c>
      <c r="D587" t="n">
        <v>2</v>
      </c>
      <c r="E587" t="n">
        <v>56</v>
      </c>
      <c r="F587" t="n">
        <v>0</v>
      </c>
      <c r="G587" t="n">
        <v>124</v>
      </c>
      <c r="H587" t="n">
        <v>0</v>
      </c>
      <c r="I587" t="n">
        <v>367</v>
      </c>
      <c r="J587" t="n">
        <v>0.3794</v>
      </c>
      <c r="K587">
        <f>RANK(J587,$J$2:$J$601,1)</f>
        <v/>
      </c>
      <c r="L587">
        <f>IF(K587&lt;=60,1,0)</f>
        <v/>
      </c>
      <c r="M587">
        <f>IF(MOD(A587-7,10)=0,1,0)</f>
        <v/>
      </c>
      <c r="N587">
        <f>COUNTIFS($B$2:$B$601,B587,$J$2:$J$601,"&lt;"&amp;J587)+1</f>
        <v/>
      </c>
      <c r="O587">
        <f>ROUND(COUNTIF($B$2:$B$601,B587)/600*60,0)</f>
        <v/>
      </c>
      <c r="P587">
        <f>IF(N587&lt;=O587,1,0)</f>
        <v/>
      </c>
      <c r="Q587">
        <f>IF(OR(C587=4,C587=15,C587=27),1,0)</f>
        <v/>
      </c>
      <c r="R587">
        <f>IF(I587&lt;=60,1,0)</f>
        <v/>
      </c>
    </row>
    <row r="588">
      <c r="A588" t="n">
        <v>587</v>
      </c>
      <c r="B588" t="n">
        <v>4</v>
      </c>
      <c r="C588" t="n">
        <v>30</v>
      </c>
      <c r="D588" t="n">
        <v>1</v>
      </c>
      <c r="E588" t="n">
        <v>44</v>
      </c>
      <c r="F588" t="n">
        <v>0</v>
      </c>
      <c r="G588" t="n">
        <v>122</v>
      </c>
      <c r="H588" t="n">
        <v>0</v>
      </c>
      <c r="I588" t="n">
        <v>388</v>
      </c>
      <c r="J588" t="n">
        <v>0.299549</v>
      </c>
      <c r="K588">
        <f>RANK(J588,$J$2:$J$601,1)</f>
        <v/>
      </c>
      <c r="L588">
        <f>IF(K588&lt;=60,1,0)</f>
        <v/>
      </c>
      <c r="M588">
        <f>IF(MOD(A588-7,10)=0,1,0)</f>
        <v/>
      </c>
      <c r="N588">
        <f>COUNTIFS($B$2:$B$601,B588,$J$2:$J$601,"&lt;"&amp;J588)+1</f>
        <v/>
      </c>
      <c r="O588">
        <f>ROUND(COUNTIF($B$2:$B$601,B588)/600*60,0)</f>
        <v/>
      </c>
      <c r="P588">
        <f>IF(N588&lt;=O588,1,0)</f>
        <v/>
      </c>
      <c r="Q588">
        <f>IF(OR(C588=4,C588=15,C588=27),1,0)</f>
        <v/>
      </c>
      <c r="R588">
        <f>IF(I588&lt;=60,1,0)</f>
        <v/>
      </c>
    </row>
    <row r="589">
      <c r="A589" t="n">
        <v>588</v>
      </c>
      <c r="B589" t="n">
        <v>4</v>
      </c>
      <c r="C589" t="n">
        <v>30</v>
      </c>
      <c r="D589" t="n">
        <v>1</v>
      </c>
      <c r="E589" t="n">
        <v>37</v>
      </c>
      <c r="F589" t="n">
        <v>0</v>
      </c>
      <c r="G589" t="n">
        <v>96</v>
      </c>
      <c r="H589" t="n">
        <v>0</v>
      </c>
      <c r="I589" t="n">
        <v>282</v>
      </c>
      <c r="J589" t="n">
        <v>0.924373</v>
      </c>
      <c r="K589">
        <f>RANK(J589,$J$2:$J$601,1)</f>
        <v/>
      </c>
      <c r="L589">
        <f>IF(K589&lt;=60,1,0)</f>
        <v/>
      </c>
      <c r="M589">
        <f>IF(MOD(A589-7,10)=0,1,0)</f>
        <v/>
      </c>
      <c r="N589">
        <f>COUNTIFS($B$2:$B$601,B589,$J$2:$J$601,"&lt;"&amp;J589)+1</f>
        <v/>
      </c>
      <c r="O589">
        <f>ROUND(COUNTIF($B$2:$B$601,B589)/600*60,0)</f>
        <v/>
      </c>
      <c r="P589">
        <f>IF(N589&lt;=O589,1,0)</f>
        <v/>
      </c>
      <c r="Q589">
        <f>IF(OR(C589=4,C589=15,C589=27),1,0)</f>
        <v/>
      </c>
      <c r="R589">
        <f>IF(I589&lt;=60,1,0)</f>
        <v/>
      </c>
    </row>
    <row r="590">
      <c r="A590" t="n">
        <v>589</v>
      </c>
      <c r="B590" t="n">
        <v>4</v>
      </c>
      <c r="C590" t="n">
        <v>30</v>
      </c>
      <c r="D590" t="n">
        <v>1</v>
      </c>
      <c r="E590" t="n">
        <v>59</v>
      </c>
      <c r="F590" t="n">
        <v>0</v>
      </c>
      <c r="G590" t="n">
        <v>107</v>
      </c>
      <c r="H590" t="n">
        <v>0</v>
      </c>
      <c r="I590" t="n">
        <v>275</v>
      </c>
      <c r="J590" t="n">
        <v>0.925524</v>
      </c>
      <c r="K590">
        <f>RANK(J590,$J$2:$J$601,1)</f>
        <v/>
      </c>
      <c r="L590">
        <f>IF(K590&lt;=60,1,0)</f>
        <v/>
      </c>
      <c r="M590">
        <f>IF(MOD(A590-7,10)=0,1,0)</f>
        <v/>
      </c>
      <c r="N590">
        <f>COUNTIFS($B$2:$B$601,B590,$J$2:$J$601,"&lt;"&amp;J590)+1</f>
        <v/>
      </c>
      <c r="O590">
        <f>ROUND(COUNTIF($B$2:$B$601,B590)/600*60,0)</f>
        <v/>
      </c>
      <c r="P590">
        <f>IF(N590&lt;=O590,1,0)</f>
        <v/>
      </c>
      <c r="Q590">
        <f>IF(OR(C590=4,C590=15,C590=27),1,0)</f>
        <v/>
      </c>
      <c r="R590">
        <f>IF(I590&lt;=60,1,0)</f>
        <v/>
      </c>
    </row>
    <row r="591">
      <c r="A591" t="n">
        <v>590</v>
      </c>
      <c r="B591" t="n">
        <v>4</v>
      </c>
      <c r="C591" t="n">
        <v>30</v>
      </c>
      <c r="D591" t="n">
        <v>2</v>
      </c>
      <c r="E591" t="n">
        <v>64</v>
      </c>
      <c r="F591" t="n">
        <v>0</v>
      </c>
      <c r="G591" t="n">
        <v>99</v>
      </c>
      <c r="H591" t="n">
        <v>0</v>
      </c>
      <c r="I591" t="n">
        <v>310</v>
      </c>
      <c r="J591" t="n">
        <v>0.609734</v>
      </c>
      <c r="K591">
        <f>RANK(J591,$J$2:$J$601,1)</f>
        <v/>
      </c>
      <c r="L591">
        <f>IF(K591&lt;=60,1,0)</f>
        <v/>
      </c>
      <c r="M591">
        <f>IF(MOD(A591-7,10)=0,1,0)</f>
        <v/>
      </c>
      <c r="N591">
        <f>COUNTIFS($B$2:$B$601,B591,$J$2:$J$601,"&lt;"&amp;J591)+1</f>
        <v/>
      </c>
      <c r="O591">
        <f>ROUND(COUNTIF($B$2:$B$601,B591)/600*60,0)</f>
        <v/>
      </c>
      <c r="P591">
        <f>IF(N591&lt;=O591,1,0)</f>
        <v/>
      </c>
      <c r="Q591">
        <f>IF(OR(C591=4,C591=15,C591=27),1,0)</f>
        <v/>
      </c>
      <c r="R591">
        <f>IF(I591&lt;=60,1,0)</f>
        <v/>
      </c>
    </row>
    <row r="592">
      <c r="A592" t="n">
        <v>591</v>
      </c>
      <c r="B592" t="n">
        <v>4</v>
      </c>
      <c r="C592" t="n">
        <v>30</v>
      </c>
      <c r="D592" t="n">
        <v>1</v>
      </c>
      <c r="E592" t="n">
        <v>72</v>
      </c>
      <c r="F592" t="n">
        <v>0</v>
      </c>
      <c r="G592" t="n">
        <v>115</v>
      </c>
      <c r="H592" t="n">
        <v>0</v>
      </c>
      <c r="I592" t="n">
        <v>133</v>
      </c>
      <c r="J592" t="n">
        <v>0.126684</v>
      </c>
      <c r="K592">
        <f>RANK(J592,$J$2:$J$601,1)</f>
        <v/>
      </c>
      <c r="L592">
        <f>IF(K592&lt;=60,1,0)</f>
        <v/>
      </c>
      <c r="M592">
        <f>IF(MOD(A592-7,10)=0,1,0)</f>
        <v/>
      </c>
      <c r="N592">
        <f>COUNTIFS($B$2:$B$601,B592,$J$2:$J$601,"&lt;"&amp;J592)+1</f>
        <v/>
      </c>
      <c r="O592">
        <f>ROUND(COUNTIF($B$2:$B$601,B592)/600*60,0)</f>
        <v/>
      </c>
      <c r="P592">
        <f>IF(N592&lt;=O592,1,0)</f>
        <v/>
      </c>
      <c r="Q592">
        <f>IF(OR(C592=4,C592=15,C592=27),1,0)</f>
        <v/>
      </c>
      <c r="R592">
        <f>IF(I592&lt;=60,1,0)</f>
        <v/>
      </c>
    </row>
    <row r="593">
      <c r="A593" t="n">
        <v>592</v>
      </c>
      <c r="B593" t="n">
        <v>4</v>
      </c>
      <c r="C593" t="n">
        <v>30</v>
      </c>
      <c r="D593" t="n">
        <v>2</v>
      </c>
      <c r="E593" t="n">
        <v>72</v>
      </c>
      <c r="F593" t="n">
        <v>0</v>
      </c>
      <c r="G593" t="n">
        <v>132</v>
      </c>
      <c r="H593" t="n">
        <v>0</v>
      </c>
      <c r="I593" t="n">
        <v>374</v>
      </c>
      <c r="J593" t="n">
        <v>0.598695</v>
      </c>
      <c r="K593">
        <f>RANK(J593,$J$2:$J$601,1)</f>
        <v/>
      </c>
      <c r="L593">
        <f>IF(K593&lt;=60,1,0)</f>
        <v/>
      </c>
      <c r="M593">
        <f>IF(MOD(A593-7,10)=0,1,0)</f>
        <v/>
      </c>
      <c r="N593">
        <f>COUNTIFS($B$2:$B$601,B593,$J$2:$J$601,"&lt;"&amp;J593)+1</f>
        <v/>
      </c>
      <c r="O593">
        <f>ROUND(COUNTIF($B$2:$B$601,B593)/600*60,0)</f>
        <v/>
      </c>
      <c r="P593">
        <f>IF(N593&lt;=O593,1,0)</f>
        <v/>
      </c>
      <c r="Q593">
        <f>IF(OR(C593=4,C593=15,C593=27),1,0)</f>
        <v/>
      </c>
      <c r="R593">
        <f>IF(I593&lt;=60,1,0)</f>
        <v/>
      </c>
    </row>
    <row r="594">
      <c r="A594" t="n">
        <v>593</v>
      </c>
      <c r="B594" t="n">
        <v>4</v>
      </c>
      <c r="C594" t="n">
        <v>30</v>
      </c>
      <c r="D594" t="n">
        <v>2</v>
      </c>
      <c r="E594" t="n">
        <v>40</v>
      </c>
      <c r="F594" t="n">
        <v>0</v>
      </c>
      <c r="G594" t="n">
        <v>111</v>
      </c>
      <c r="H594" t="n">
        <v>0</v>
      </c>
      <c r="I594" t="n">
        <v>508</v>
      </c>
      <c r="J594" t="n">
        <v>0.683684</v>
      </c>
      <c r="K594">
        <f>RANK(J594,$J$2:$J$601,1)</f>
        <v/>
      </c>
      <c r="L594">
        <f>IF(K594&lt;=60,1,0)</f>
        <v/>
      </c>
      <c r="M594">
        <f>IF(MOD(A594-7,10)=0,1,0)</f>
        <v/>
      </c>
      <c r="N594">
        <f>COUNTIFS($B$2:$B$601,B594,$J$2:$J$601,"&lt;"&amp;J594)+1</f>
        <v/>
      </c>
      <c r="O594">
        <f>ROUND(COUNTIF($B$2:$B$601,B594)/600*60,0)</f>
        <v/>
      </c>
      <c r="P594">
        <f>IF(N594&lt;=O594,1,0)</f>
        <v/>
      </c>
      <c r="Q594">
        <f>IF(OR(C594=4,C594=15,C594=27),1,0)</f>
        <v/>
      </c>
      <c r="R594">
        <f>IF(I594&lt;=60,1,0)</f>
        <v/>
      </c>
    </row>
    <row r="595">
      <c r="A595" t="n">
        <v>594</v>
      </c>
      <c r="B595" t="n">
        <v>4</v>
      </c>
      <c r="C595" t="n">
        <v>30</v>
      </c>
      <c r="D595" t="n">
        <v>1</v>
      </c>
      <c r="E595" t="n">
        <v>69</v>
      </c>
      <c r="F595" t="n">
        <v>0</v>
      </c>
      <c r="G595" t="n">
        <v>135</v>
      </c>
      <c r="H595" t="n">
        <v>0</v>
      </c>
      <c r="I595" t="n">
        <v>248</v>
      </c>
      <c r="J595" t="n">
        <v>0.056911</v>
      </c>
      <c r="K595">
        <f>RANK(J595,$J$2:$J$601,1)</f>
        <v/>
      </c>
      <c r="L595">
        <f>IF(K595&lt;=60,1,0)</f>
        <v/>
      </c>
      <c r="M595">
        <f>IF(MOD(A595-7,10)=0,1,0)</f>
        <v/>
      </c>
      <c r="N595">
        <f>COUNTIFS($B$2:$B$601,B595,$J$2:$J$601,"&lt;"&amp;J595)+1</f>
        <v/>
      </c>
      <c r="O595">
        <f>ROUND(COUNTIF($B$2:$B$601,B595)/600*60,0)</f>
        <v/>
      </c>
      <c r="P595">
        <f>IF(N595&lt;=O595,1,0)</f>
        <v/>
      </c>
      <c r="Q595">
        <f>IF(OR(C595=4,C595=15,C595=27),1,0)</f>
        <v/>
      </c>
      <c r="R595">
        <f>IF(I595&lt;=60,1,0)</f>
        <v/>
      </c>
    </row>
    <row r="596">
      <c r="A596" t="n">
        <v>595</v>
      </c>
      <c r="B596" t="n">
        <v>4</v>
      </c>
      <c r="C596" t="n">
        <v>30</v>
      </c>
      <c r="D596" t="n">
        <v>2</v>
      </c>
      <c r="E596" t="n">
        <v>45</v>
      </c>
      <c r="F596" t="n">
        <v>0</v>
      </c>
      <c r="G596" t="n">
        <v>98</v>
      </c>
      <c r="H596" t="n">
        <v>0</v>
      </c>
      <c r="I596" t="n">
        <v>512</v>
      </c>
      <c r="J596" t="n">
        <v>0.928209</v>
      </c>
      <c r="K596">
        <f>RANK(J596,$J$2:$J$601,1)</f>
        <v/>
      </c>
      <c r="L596">
        <f>IF(K596&lt;=60,1,0)</f>
        <v/>
      </c>
      <c r="M596">
        <f>IF(MOD(A596-7,10)=0,1,0)</f>
        <v/>
      </c>
      <c r="N596">
        <f>COUNTIFS($B$2:$B$601,B596,$J$2:$J$601,"&lt;"&amp;J596)+1</f>
        <v/>
      </c>
      <c r="O596">
        <f>ROUND(COUNTIF($B$2:$B$601,B596)/600*60,0)</f>
        <v/>
      </c>
      <c r="P596">
        <f>IF(N596&lt;=O596,1,0)</f>
        <v/>
      </c>
      <c r="Q596">
        <f>IF(OR(C596=4,C596=15,C596=27),1,0)</f>
        <v/>
      </c>
      <c r="R596">
        <f>IF(I596&lt;=60,1,0)</f>
        <v/>
      </c>
    </row>
    <row r="597">
      <c r="A597" t="n">
        <v>596</v>
      </c>
      <c r="B597" t="n">
        <v>4</v>
      </c>
      <c r="C597" t="n">
        <v>30</v>
      </c>
      <c r="D597" t="n">
        <v>1</v>
      </c>
      <c r="E597" t="n">
        <v>48</v>
      </c>
      <c r="F597" t="n">
        <v>0</v>
      </c>
      <c r="G597" t="n">
        <v>124</v>
      </c>
      <c r="H597" t="n">
        <v>0</v>
      </c>
      <c r="I597" t="n">
        <v>83</v>
      </c>
      <c r="J597" t="n">
        <v>0.887784</v>
      </c>
      <c r="K597">
        <f>RANK(J597,$J$2:$J$601,1)</f>
        <v/>
      </c>
      <c r="L597">
        <f>IF(K597&lt;=60,1,0)</f>
        <v/>
      </c>
      <c r="M597">
        <f>IF(MOD(A597-7,10)=0,1,0)</f>
        <v/>
      </c>
      <c r="N597">
        <f>COUNTIFS($B$2:$B$601,B597,$J$2:$J$601,"&lt;"&amp;J597)+1</f>
        <v/>
      </c>
      <c r="O597">
        <f>ROUND(COUNTIF($B$2:$B$601,B597)/600*60,0)</f>
        <v/>
      </c>
      <c r="P597">
        <f>IF(N597&lt;=O597,1,0)</f>
        <v/>
      </c>
      <c r="Q597">
        <f>IF(OR(C597=4,C597=15,C597=27),1,0)</f>
        <v/>
      </c>
      <c r="R597">
        <f>IF(I597&lt;=60,1,0)</f>
        <v/>
      </c>
    </row>
    <row r="598">
      <c r="A598" t="n">
        <v>597</v>
      </c>
      <c r="B598" t="n">
        <v>4</v>
      </c>
      <c r="C598" t="n">
        <v>30</v>
      </c>
      <c r="D598" t="n">
        <v>1</v>
      </c>
      <c r="E598" t="n">
        <v>63</v>
      </c>
      <c r="F598" t="n">
        <v>0</v>
      </c>
      <c r="G598" t="n">
        <v>134</v>
      </c>
      <c r="H598" t="n">
        <v>0</v>
      </c>
      <c r="I598" t="n">
        <v>226</v>
      </c>
      <c r="J598" t="n">
        <v>0.288979</v>
      </c>
      <c r="K598">
        <f>RANK(J598,$J$2:$J$601,1)</f>
        <v/>
      </c>
      <c r="L598">
        <f>IF(K598&lt;=60,1,0)</f>
        <v/>
      </c>
      <c r="M598">
        <f>IF(MOD(A598-7,10)=0,1,0)</f>
        <v/>
      </c>
      <c r="N598">
        <f>COUNTIFS($B$2:$B$601,B598,$J$2:$J$601,"&lt;"&amp;J598)+1</f>
        <v/>
      </c>
      <c r="O598">
        <f>ROUND(COUNTIF($B$2:$B$601,B598)/600*60,0)</f>
        <v/>
      </c>
      <c r="P598">
        <f>IF(N598&lt;=O598,1,0)</f>
        <v/>
      </c>
      <c r="Q598">
        <f>IF(OR(C598=4,C598=15,C598=27),1,0)</f>
        <v/>
      </c>
      <c r="R598">
        <f>IF(I598&lt;=60,1,0)</f>
        <v/>
      </c>
    </row>
    <row r="599">
      <c r="A599" t="n">
        <v>598</v>
      </c>
      <c r="B599" t="n">
        <v>4</v>
      </c>
      <c r="C599" t="n">
        <v>30</v>
      </c>
      <c r="D599" t="n">
        <v>2</v>
      </c>
      <c r="E599" t="n">
        <v>57</v>
      </c>
      <c r="F599" t="n">
        <v>1</v>
      </c>
      <c r="G599" t="n">
        <v>144</v>
      </c>
      <c r="H599" t="n">
        <v>1</v>
      </c>
      <c r="I599" t="n">
        <v>140</v>
      </c>
      <c r="J599" t="n">
        <v>0.111249</v>
      </c>
      <c r="K599">
        <f>RANK(J599,$J$2:$J$601,1)</f>
        <v/>
      </c>
      <c r="L599">
        <f>IF(K599&lt;=60,1,0)</f>
        <v/>
      </c>
      <c r="M599">
        <f>IF(MOD(A599-7,10)=0,1,0)</f>
        <v/>
      </c>
      <c r="N599">
        <f>COUNTIFS($B$2:$B$601,B599,$J$2:$J$601,"&lt;"&amp;J599)+1</f>
        <v/>
      </c>
      <c r="O599">
        <f>ROUND(COUNTIF($B$2:$B$601,B599)/600*60,0)</f>
        <v/>
      </c>
      <c r="P599">
        <f>IF(N599&lt;=O599,1,0)</f>
        <v/>
      </c>
      <c r="Q599">
        <f>IF(OR(C599=4,C599=15,C599=27),1,0)</f>
        <v/>
      </c>
      <c r="R599">
        <f>IF(I599&lt;=60,1,0)</f>
        <v/>
      </c>
    </row>
    <row r="600">
      <c r="A600" t="n">
        <v>599</v>
      </c>
      <c r="B600" t="n">
        <v>4</v>
      </c>
      <c r="C600" t="n">
        <v>30</v>
      </c>
      <c r="D600" t="n">
        <v>2</v>
      </c>
      <c r="E600" t="n">
        <v>40</v>
      </c>
      <c r="F600" t="n">
        <v>0</v>
      </c>
      <c r="G600" t="n">
        <v>110</v>
      </c>
      <c r="H600" t="n">
        <v>0</v>
      </c>
      <c r="I600" t="n">
        <v>366</v>
      </c>
      <c r="J600" t="n">
        <v>0.930557</v>
      </c>
      <c r="K600">
        <f>RANK(J600,$J$2:$J$601,1)</f>
        <v/>
      </c>
      <c r="L600">
        <f>IF(K600&lt;=60,1,0)</f>
        <v/>
      </c>
      <c r="M600">
        <f>IF(MOD(A600-7,10)=0,1,0)</f>
        <v/>
      </c>
      <c r="N600">
        <f>COUNTIFS($B$2:$B$601,B600,$J$2:$J$601,"&lt;"&amp;J600)+1</f>
        <v/>
      </c>
      <c r="O600">
        <f>ROUND(COUNTIF($B$2:$B$601,B600)/600*60,0)</f>
        <v/>
      </c>
      <c r="P600">
        <f>IF(N600&lt;=O600,1,0)</f>
        <v/>
      </c>
      <c r="Q600">
        <f>IF(OR(C600=4,C600=15,C600=27),1,0)</f>
        <v/>
      </c>
      <c r="R600">
        <f>IF(I600&lt;=60,1,0)</f>
        <v/>
      </c>
    </row>
    <row r="601">
      <c r="A601" t="n">
        <v>600</v>
      </c>
      <c r="B601" t="n">
        <v>4</v>
      </c>
      <c r="C601" t="n">
        <v>30</v>
      </c>
      <c r="D601" t="n">
        <v>1</v>
      </c>
      <c r="E601" t="n">
        <v>60</v>
      </c>
      <c r="F601" t="n">
        <v>1</v>
      </c>
      <c r="G601" t="n">
        <v>122</v>
      </c>
      <c r="H601" t="n">
        <v>0</v>
      </c>
      <c r="I601" t="n">
        <v>577</v>
      </c>
      <c r="J601" t="n">
        <v>0.295006</v>
      </c>
      <c r="K601">
        <f>RANK(J601,$J$2:$J$601,1)</f>
        <v/>
      </c>
      <c r="L601">
        <f>IF(K601&lt;=60,1,0)</f>
        <v/>
      </c>
      <c r="M601">
        <f>IF(MOD(A601-7,10)=0,1,0)</f>
        <v/>
      </c>
      <c r="N601">
        <f>COUNTIFS($B$2:$B$601,B601,$J$2:$J$601,"&lt;"&amp;J601)+1</f>
        <v/>
      </c>
      <c r="O601">
        <f>ROUND(COUNTIF($B$2:$B$601,B601)/600*60,0)</f>
        <v/>
      </c>
      <c r="P601">
        <f>IF(N601&lt;=O601,1,0)</f>
        <v/>
      </c>
      <c r="Q601">
        <f>IF(OR(C601=4,C601=15,C601=27),1,0)</f>
        <v/>
      </c>
      <c r="R601">
        <f>IF(I601&lt;=60,1,0)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id</t>
        </is>
      </c>
      <c r="B1" s="2" t="inlineStr">
        <is>
          <t>u</t>
        </is>
      </c>
      <c r="C1" s="3" t="inlineStr">
        <is>
          <t>block</t>
        </is>
      </c>
      <c r="D1" s="3" t="inlineStr">
        <is>
          <t>rank_in_block</t>
        </is>
      </c>
      <c r="E1" s="3" t="inlineStr">
        <is>
          <t>group</t>
        </is>
      </c>
    </row>
    <row r="2">
      <c r="A2" t="n">
        <v>1</v>
      </c>
      <c r="B2" t="n">
        <v>0.505458</v>
      </c>
      <c r="C2">
        <f>ROUNDUP(A2/4,0)</f>
        <v/>
      </c>
      <c r="D2">
        <f>COUNTIFS($C$2:$C$25,C2,$B$2:$B$25,"&lt;"&amp;B2)+1</f>
        <v/>
      </c>
      <c r="E2">
        <f>IF(D2&lt;=2,"A","B")</f>
        <v/>
      </c>
    </row>
    <row r="3">
      <c r="A3" t="n">
        <v>2</v>
      </c>
      <c r="B3" t="n">
        <v>0.262602</v>
      </c>
      <c r="C3">
        <f>ROUNDUP(A3/4,0)</f>
        <v/>
      </c>
      <c r="D3">
        <f>COUNTIFS($C$2:$C$25,C3,$B$2:$B$25,"&lt;"&amp;B3)+1</f>
        <v/>
      </c>
      <c r="E3">
        <f>IF(D3&lt;=2,"A","B")</f>
        <v/>
      </c>
    </row>
    <row r="4">
      <c r="A4" t="n">
        <v>3</v>
      </c>
      <c r="B4" t="n">
        <v>0.008991000000000001</v>
      </c>
      <c r="C4">
        <f>ROUNDUP(A4/4,0)</f>
        <v/>
      </c>
      <c r="D4">
        <f>COUNTIFS($C$2:$C$25,C4,$B$2:$B$25,"&lt;"&amp;B4)+1</f>
        <v/>
      </c>
      <c r="E4">
        <f>IF(D4&lt;=2,"A","B")</f>
        <v/>
      </c>
    </row>
    <row r="5">
      <c r="A5" t="n">
        <v>4</v>
      </c>
      <c r="B5" t="n">
        <v>0.655602</v>
      </c>
      <c r="C5">
        <f>ROUNDUP(A5/4,0)</f>
        <v/>
      </c>
      <c r="D5">
        <f>COUNTIFS($C$2:$C$25,C5,$B$2:$B$25,"&lt;"&amp;B5)+1</f>
        <v/>
      </c>
      <c r="E5">
        <f>IF(D5&lt;=2,"A","B")</f>
        <v/>
      </c>
    </row>
    <row r="6">
      <c r="A6" t="n">
        <v>5</v>
      </c>
      <c r="B6" t="n">
        <v>0.904442</v>
      </c>
      <c r="C6">
        <f>ROUNDUP(A6/4,0)</f>
        <v/>
      </c>
      <c r="D6">
        <f>COUNTIFS($C$2:$C$25,C6,$B$2:$B$25,"&lt;"&amp;B6)+1</f>
        <v/>
      </c>
      <c r="E6">
        <f>IF(D6&lt;=2,"A","B")</f>
        <v/>
      </c>
    </row>
    <row r="7">
      <c r="A7" t="n">
        <v>6</v>
      </c>
      <c r="B7" t="n">
        <v>0.828595</v>
      </c>
      <c r="C7">
        <f>ROUNDUP(A7/4,0)</f>
        <v/>
      </c>
      <c r="D7">
        <f>COUNTIFS($C$2:$C$25,C7,$B$2:$B$25,"&lt;"&amp;B7)+1</f>
        <v/>
      </c>
      <c r="E7">
        <f>IF(D7&lt;=2,"A","B")</f>
        <v/>
      </c>
    </row>
    <row r="8">
      <c r="A8" t="n">
        <v>7</v>
      </c>
      <c r="B8" t="n">
        <v>0.648674</v>
      </c>
      <c r="C8">
        <f>ROUNDUP(A8/4,0)</f>
        <v/>
      </c>
      <c r="D8">
        <f>COUNTIFS($C$2:$C$25,C8,$B$2:$B$25,"&lt;"&amp;B8)+1</f>
        <v/>
      </c>
      <c r="E8">
        <f>IF(D8&lt;=2,"A","B")</f>
        <v/>
      </c>
    </row>
    <row r="9">
      <c r="A9" t="n">
        <v>8</v>
      </c>
      <c r="B9" t="n">
        <v>0.731193</v>
      </c>
      <c r="C9">
        <f>ROUNDUP(A9/4,0)</f>
        <v/>
      </c>
      <c r="D9">
        <f>COUNTIFS($C$2:$C$25,C9,$B$2:$B$25,"&lt;"&amp;B9)+1</f>
        <v/>
      </c>
      <c r="E9">
        <f>IF(D9&lt;=2,"A","B")</f>
        <v/>
      </c>
    </row>
    <row r="10">
      <c r="A10" t="n">
        <v>9</v>
      </c>
      <c r="B10" t="n">
        <v>0.781935</v>
      </c>
      <c r="C10">
        <f>ROUNDUP(A10/4,0)</f>
        <v/>
      </c>
      <c r="D10">
        <f>COUNTIFS($C$2:$C$25,C10,$B$2:$B$25,"&lt;"&amp;B10)+1</f>
        <v/>
      </c>
      <c r="E10">
        <f>IF(D10&lt;=2,"A","B")</f>
        <v/>
      </c>
    </row>
    <row r="11">
      <c r="A11" t="n">
        <v>10</v>
      </c>
      <c r="B11" t="n">
        <v>0.314725</v>
      </c>
      <c r="C11">
        <f>ROUNDUP(A11/4,0)</f>
        <v/>
      </c>
      <c r="D11">
        <f>COUNTIFS($C$2:$C$25,C11,$B$2:$B$25,"&lt;"&amp;B11)+1</f>
        <v/>
      </c>
      <c r="E11">
        <f>IF(D11&lt;=2,"A","B")</f>
        <v/>
      </c>
    </row>
    <row r="12">
      <c r="A12" t="n">
        <v>11</v>
      </c>
      <c r="B12" t="n">
        <v>0.371193</v>
      </c>
      <c r="C12">
        <f>ROUNDUP(A12/4,0)</f>
        <v/>
      </c>
      <c r="D12">
        <f>COUNTIFS($C$2:$C$25,C12,$B$2:$B$25,"&lt;"&amp;B12)+1</f>
        <v/>
      </c>
      <c r="E12">
        <f>IF(D12&lt;=2,"A","B")</f>
        <v/>
      </c>
    </row>
    <row r="13">
      <c r="A13" t="n">
        <v>12</v>
      </c>
      <c r="B13" t="n">
        <v>0.798534</v>
      </c>
      <c r="C13">
        <f>ROUNDUP(A13/4,0)</f>
        <v/>
      </c>
      <c r="D13">
        <f>COUNTIFS($C$2:$C$25,C13,$B$2:$B$25,"&lt;"&amp;B13)+1</f>
        <v/>
      </c>
      <c r="E13">
        <f>IF(D13&lt;=2,"A","B")</f>
        <v/>
      </c>
    </row>
    <row r="14">
      <c r="A14" t="n">
        <v>13</v>
      </c>
      <c r="B14" t="n">
        <v>0.880139</v>
      </c>
      <c r="C14">
        <f>ROUNDUP(A14/4,0)</f>
        <v/>
      </c>
      <c r="D14">
        <f>COUNTIFS($C$2:$C$25,C14,$B$2:$B$25,"&lt;"&amp;B14)+1</f>
        <v/>
      </c>
      <c r="E14">
        <f>IF(D14&lt;=2,"A","B")</f>
        <v/>
      </c>
    </row>
    <row r="15">
      <c r="A15" t="n">
        <v>14</v>
      </c>
      <c r="B15" t="n">
        <v>0.5044689999999999</v>
      </c>
      <c r="C15">
        <f>ROUNDUP(A15/4,0)</f>
        <v/>
      </c>
      <c r="D15">
        <f>COUNTIFS($C$2:$C$25,C15,$B$2:$B$25,"&lt;"&amp;B15)+1</f>
        <v/>
      </c>
      <c r="E15">
        <f>IF(D15&lt;=2,"A","B")</f>
        <v/>
      </c>
    </row>
    <row r="16">
      <c r="A16" t="n">
        <v>15</v>
      </c>
      <c r="B16" t="n">
        <v>0.648859</v>
      </c>
      <c r="C16">
        <f>ROUNDUP(A16/4,0)</f>
        <v/>
      </c>
      <c r="D16">
        <f>COUNTIFS($C$2:$C$25,C16,$B$2:$B$25,"&lt;"&amp;B16)+1</f>
        <v/>
      </c>
      <c r="E16">
        <f>IF(D16&lt;=2,"A","B")</f>
        <v/>
      </c>
    </row>
    <row r="17">
      <c r="A17" t="n">
        <v>16</v>
      </c>
      <c r="B17" t="n">
        <v>0.685066</v>
      </c>
      <c r="C17">
        <f>ROUNDUP(A17/4,0)</f>
        <v/>
      </c>
      <c r="D17">
        <f>COUNTIFS($C$2:$C$25,C17,$B$2:$B$25,"&lt;"&amp;B17)+1</f>
        <v/>
      </c>
      <c r="E17">
        <f>IF(D17&lt;=2,"A","B")</f>
        <v/>
      </c>
    </row>
    <row r="18">
      <c r="A18" t="n">
        <v>17</v>
      </c>
      <c r="B18" t="n">
        <v>0.230353</v>
      </c>
      <c r="C18">
        <f>ROUNDUP(A18/4,0)</f>
        <v/>
      </c>
      <c r="D18">
        <f>COUNTIFS($C$2:$C$25,C18,$B$2:$B$25,"&lt;"&amp;B18)+1</f>
        <v/>
      </c>
      <c r="E18">
        <f>IF(D18&lt;=2,"A","B")</f>
        <v/>
      </c>
    </row>
    <row r="19">
      <c r="A19" t="n">
        <v>18</v>
      </c>
      <c r="B19" t="n">
        <v>0.7580519999999999</v>
      </c>
      <c r="C19">
        <f>ROUNDUP(A19/4,0)</f>
        <v/>
      </c>
      <c r="D19">
        <f>COUNTIFS($C$2:$C$25,C19,$B$2:$B$25,"&lt;"&amp;B19)+1</f>
        <v/>
      </c>
      <c r="E19">
        <f>IF(D19&lt;=2,"A","B")</f>
        <v/>
      </c>
    </row>
    <row r="20">
      <c r="A20" t="n">
        <v>19</v>
      </c>
      <c r="B20" t="n">
        <v>0.63794</v>
      </c>
      <c r="C20">
        <f>ROUNDUP(A20/4,0)</f>
        <v/>
      </c>
      <c r="D20">
        <f>COUNTIFS($C$2:$C$25,C20,$B$2:$B$25,"&lt;"&amp;B20)+1</f>
        <v/>
      </c>
      <c r="E20">
        <f>IF(D20&lt;=2,"A","B")</f>
        <v/>
      </c>
    </row>
    <row r="21">
      <c r="A21" t="n">
        <v>20</v>
      </c>
      <c r="B21" t="n">
        <v>0.045895</v>
      </c>
      <c r="C21">
        <f>ROUNDUP(A21/4,0)</f>
        <v/>
      </c>
      <c r="D21">
        <f>COUNTIFS($C$2:$C$25,C21,$B$2:$B$25,"&lt;"&amp;B21)+1</f>
        <v/>
      </c>
      <c r="E21">
        <f>IF(D21&lt;=2,"A","B")</f>
        <v/>
      </c>
    </row>
    <row r="22">
      <c r="A22" t="n">
        <v>21</v>
      </c>
      <c r="B22" t="n">
        <v>0.468977</v>
      </c>
      <c r="C22">
        <f>ROUNDUP(A22/4,0)</f>
        <v/>
      </c>
      <c r="D22">
        <f>COUNTIFS($C$2:$C$25,C22,$B$2:$B$25,"&lt;"&amp;B22)+1</f>
        <v/>
      </c>
      <c r="E22">
        <f>IF(D22&lt;=2,"A","B")</f>
        <v/>
      </c>
    </row>
    <row r="23">
      <c r="A23" t="n">
        <v>22</v>
      </c>
      <c r="B23" t="n">
        <v>0.8852989999999999</v>
      </c>
      <c r="C23">
        <f>ROUNDUP(A23/4,0)</f>
        <v/>
      </c>
      <c r="D23">
        <f>COUNTIFS($C$2:$C$25,C23,$B$2:$B$25,"&lt;"&amp;B23)+1</f>
        <v/>
      </c>
      <c r="E23">
        <f>IF(D23&lt;=2,"A","B")</f>
        <v/>
      </c>
    </row>
    <row r="24">
      <c r="A24" t="n">
        <v>23</v>
      </c>
      <c r="B24" t="n">
        <v>0.058515</v>
      </c>
      <c r="C24">
        <f>ROUNDUP(A24/4,0)</f>
        <v/>
      </c>
      <c r="D24">
        <f>COUNTIFS($C$2:$C$25,C24,$B$2:$B$25,"&lt;"&amp;B24)+1</f>
        <v/>
      </c>
      <c r="E24">
        <f>IF(D24&lt;=2,"A","B")</f>
        <v/>
      </c>
    </row>
    <row r="25">
      <c r="A25" t="n">
        <v>24</v>
      </c>
      <c r="B25" t="n">
        <v>0.227625</v>
      </c>
      <c r="C25">
        <f>ROUNDUP(A25/4,0)</f>
        <v/>
      </c>
      <c r="D25">
        <f>COUNTIFS($C$2:$C$25,C25,$B$2:$B$25,"&lt;"&amp;B25)+1</f>
        <v/>
      </c>
      <c r="E25">
        <f>IF(D25&lt;=2,"A","B")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2026-10-26T18:38:17Z</dcterms:created>
  <dcterms:modified xmlns:dcterms="http://purl.org/dc/terms/" xmlns:xsi="http://www.w3.org/2001/XMLSchema-instance" xsi:type="dcterms:W3CDTF">2026-10-26T18:38:17Z</dcterms:modified>
</cp:coreProperties>
</file>