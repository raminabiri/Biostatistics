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s" sheetId="1" state="visible" r:id="rId1"/>
    <sheet xmlns:r="http://schemas.openxmlformats.org/officeDocument/2006/relationships" name="uti" sheetId="2" state="visible" r:id="rId2"/>
    <sheet xmlns:r="http://schemas.openxmlformats.org/officeDocument/2006/relationships" name="crp_wide" sheetId="3" state="visible" r:id="rId3"/>
    <sheet xmlns:r="http://schemas.openxmlformats.org/officeDocument/2006/relationships" name="labels" sheetId="4" state="visible" r:id="rId4"/>
    <sheet xmlns:r="http://schemas.openxmlformats.org/officeDocument/2006/relationships" name="codebook" sheetId="5" state="visible" r:id="rId5"/>
    <sheet xmlns:r="http://schemas.openxmlformats.org/officeDocument/2006/relationships" name="crp_long" sheetId="6" state="visible" r:id="rId6"/>
  </sheets>
  <definedNames>
    <definedName name="labkey">labels!$D$2:$E$11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2" max="2"/>
    <col width="55" customWidth="1" min="3" max="3"/>
  </cols>
  <sheetData>
    <row r="1">
      <c r="A1" s="1" t="inlineStr">
        <is>
          <t>تمرین</t>
        </is>
      </c>
      <c r="B1" s="1" t="inlineStr">
        <is>
          <t>پرسش</t>
        </is>
      </c>
      <c r="C1" s="1" t="inlineStr">
        <is>
          <t>فرمول (متن)</t>
        </is>
      </c>
      <c r="D1" s="1" t="inlineStr">
        <is>
          <t>جواب</t>
        </is>
      </c>
      <c r="E1" s="1" t="inlineStr">
        <is>
          <t>جواب مورد انتظار</t>
        </is>
      </c>
    </row>
    <row r="2">
      <c r="A2" t="inlineStr">
        <is>
          <t>ع۱</t>
        </is>
      </c>
      <c r="B2" t="inlineStr">
        <is>
          <t>تعداد سطر</t>
        </is>
      </c>
      <c r="C2" t="inlineStr">
        <is>
          <t>ROWS(uti!A2:A31)</t>
        </is>
      </c>
      <c r="D2" s="2">
        <f>ROWS(uti!A2:A31)</f>
        <v/>
      </c>
      <c r="E2" t="n">
        <v>30</v>
      </c>
    </row>
    <row r="3">
      <c r="A3" t="inlineStr">
        <is>
          <t>ع۱</t>
        </is>
      </c>
      <c r="B3" t="inlineStr">
        <is>
          <t>تعداد ستون</t>
        </is>
      </c>
      <c r="C3" t="inlineStr">
        <is>
          <t>COUNTA(uti!A1:L1)</t>
        </is>
      </c>
      <c r="D3" s="2">
        <f>COUNTA(uti!A1:L1)</f>
        <v/>
      </c>
      <c r="E3" t="n">
        <v>12</v>
      </c>
    </row>
    <row r="4">
      <c r="A4" t="inlineStr">
        <is>
          <t>ع۳</t>
        </is>
      </c>
      <c r="B4" t="inlineStr">
        <is>
          <t>میانگین CRP با -99 (غلط)</t>
        </is>
      </c>
      <c r="C4" t="inlineStr">
        <is>
          <t>AVERAGE(uti!G2:G31)</t>
        </is>
      </c>
      <c r="D4" s="2">
        <f>AVERAGE(uti!G2:G31)</f>
        <v/>
      </c>
      <c r="E4" t="n">
        <v>35.1</v>
      </c>
    </row>
    <row r="5">
      <c r="A5" t="inlineStr">
        <is>
          <t>ع۳</t>
        </is>
      </c>
      <c r="B5" t="inlineStr">
        <is>
          <t>میانگین CRP بدون -99</t>
        </is>
      </c>
      <c r="C5" t="inlineStr">
        <is>
          <t>AVERAGEIF(uti!G2:G31,"&lt;&gt;-99")</t>
        </is>
      </c>
      <c r="D5" s="2">
        <f>AVERAGEIF(uti!G2:G31,"&lt;&gt;-99")</f>
        <v/>
      </c>
      <c r="E5" t="n">
        <v>44.68</v>
      </c>
    </row>
    <row r="6">
      <c r="A6" t="inlineStr">
        <is>
          <t>ع۳</t>
        </is>
      </c>
      <c r="B6" t="inlineStr">
        <is>
          <t>تعداد CRP معتبر</t>
        </is>
      </c>
      <c r="C6" t="inlineStr">
        <is>
          <t>COUNTIFS(uti!G2:G31,"&lt;&gt;-99",uti!G2:G31,"&lt;&gt;")</t>
        </is>
      </c>
      <c r="D6" s="2">
        <f>COUNTIFS(uti!G2:G31,"&lt;&gt;-99",uti!G2:G31,"&lt;&gt;")</f>
        <v/>
      </c>
      <c r="E6" t="n">
        <v>28</v>
      </c>
    </row>
    <row r="7">
      <c r="A7" t="inlineStr">
        <is>
          <t>ع۳</t>
        </is>
      </c>
      <c r="B7" t="inlineStr">
        <is>
          <t>تعداد WBC معتبر</t>
        </is>
      </c>
      <c r="C7" t="inlineStr">
        <is>
          <t>COUNT(uti!H2:H31)</t>
        </is>
      </c>
      <c r="D7" s="2">
        <f>COUNT(uti!H2:H31)</f>
        <v/>
      </c>
      <c r="E7" t="n">
        <v>29</v>
      </c>
    </row>
    <row r="8">
      <c r="A8" t="inlineStr">
        <is>
          <t>ع۴</t>
        </is>
      </c>
      <c r="B8" t="inlineStr">
        <is>
          <t>میانگین کد ward (بی‌معنا)</t>
        </is>
      </c>
      <c r="C8" t="inlineStr">
        <is>
          <t>AVERAGE(uti!D2:D31)</t>
        </is>
      </c>
      <c r="D8" s="2">
        <f>AVERAGE(uti!D2:D31)</f>
        <v/>
      </c>
      <c r="E8" t="n">
        <v>1.8</v>
      </c>
    </row>
    <row r="9">
      <c r="A9" t="inlineStr">
        <is>
          <t>ع۴</t>
        </is>
      </c>
      <c r="B9" t="inlineStr">
        <is>
          <t>Internal</t>
        </is>
      </c>
      <c r="C9" t="inlineStr">
        <is>
          <t>COUNTIF(uti!D2:D31,1)</t>
        </is>
      </c>
      <c r="D9" s="2">
        <f>COUNTIF(uti!D2:D31,1)</f>
        <v/>
      </c>
      <c r="E9" t="n">
        <v>12</v>
      </c>
    </row>
    <row r="10">
      <c r="A10" t="inlineStr">
        <is>
          <t>ع۴</t>
        </is>
      </c>
      <c r="B10" t="inlineStr">
        <is>
          <t>Surgery</t>
        </is>
      </c>
      <c r="C10" t="inlineStr">
        <is>
          <t>COUNTIF(uti!D2:D31,2)</t>
        </is>
      </c>
      <c r="D10" s="2">
        <f>COUNTIF(uti!D2:D31,2)</f>
        <v/>
      </c>
      <c r="E10" t="n">
        <v>12</v>
      </c>
    </row>
    <row r="11">
      <c r="A11" t="inlineStr">
        <is>
          <t>ع۴</t>
        </is>
      </c>
      <c r="B11" t="inlineStr">
        <is>
          <t>ICU</t>
        </is>
      </c>
      <c r="C11" t="inlineStr">
        <is>
          <t>COUNTIF(uti!D2:D31,3)</t>
        </is>
      </c>
      <c r="D11" s="2">
        <f>COUNTIF(uti!D2:D31,3)</f>
        <v/>
      </c>
      <c r="E11" t="n">
        <v>6</v>
      </c>
    </row>
    <row r="12">
      <c r="A12" t="inlineStr">
        <is>
          <t>ع۴</t>
        </is>
      </c>
      <c r="B12" t="inlineStr">
        <is>
          <t>E. coli</t>
        </is>
      </c>
      <c r="C12" t="inlineStr">
        <is>
          <t>COUNTIF(uti!E2:E31,"E. coli")</t>
        </is>
      </c>
      <c r="D12" s="2">
        <f>COUNTIF(uti!E2:E31,"E. coli")</f>
        <v/>
      </c>
      <c r="E12" t="n">
        <v>17</v>
      </c>
    </row>
    <row r="13">
      <c r="A13" t="inlineStr">
        <is>
          <t>ع۴</t>
        </is>
      </c>
      <c r="B13" t="inlineStr">
        <is>
          <t>Klebsiella</t>
        </is>
      </c>
      <c r="C13" t="inlineStr">
        <is>
          <t>COUNTIF(uti!E2:E31,"Klebsiella")</t>
        </is>
      </c>
      <c r="D13" s="2">
        <f>COUNTIF(uti!E2:E31,"Klebsiella")</f>
        <v/>
      </c>
      <c r="E13" t="n">
        <v>9</v>
      </c>
    </row>
    <row r="14">
      <c r="A14" t="inlineStr">
        <is>
          <t>ع۴</t>
        </is>
      </c>
      <c r="B14" t="inlineStr">
        <is>
          <t>Proteus</t>
        </is>
      </c>
      <c r="C14" t="inlineStr">
        <is>
          <t>COUNTIF(uti!E2:E31,"Proteus")</t>
        </is>
      </c>
      <c r="D14" s="2">
        <f>COUNTIF(uti!E2:E31,"Proteus")</f>
        <v/>
      </c>
      <c r="E14" t="n">
        <v>4</v>
      </c>
    </row>
    <row r="15">
      <c r="A15" t="inlineStr">
        <is>
          <t>ع۵</t>
        </is>
      </c>
      <c r="B15" t="inlineStr">
        <is>
          <t>Female &amp; Resistant</t>
        </is>
      </c>
      <c r="C15" t="inlineStr">
        <is>
          <t>COUNTIFS(uti!C2:C31,1,uti!L2:L31,1)</t>
        </is>
      </c>
      <c r="D15" s="2">
        <f>COUNTIFS(uti!C2:C31,1,uti!L2:L31,1)</f>
        <v/>
      </c>
      <c r="E15" t="n">
        <v>7</v>
      </c>
    </row>
    <row r="16">
      <c r="A16" t="inlineStr">
        <is>
          <t>ع۵</t>
        </is>
      </c>
      <c r="B16" t="inlineStr">
        <is>
          <t>Female &amp; Susceptible</t>
        </is>
      </c>
      <c r="C16" t="inlineStr">
        <is>
          <t>COUNTIFS(uti!C2:C31,1,uti!L2:L31,0)</t>
        </is>
      </c>
      <c r="D16" s="2">
        <f>COUNTIFS(uti!C2:C31,1,uti!L2:L31,0)</f>
        <v/>
      </c>
      <c r="E16" t="n">
        <v>13</v>
      </c>
    </row>
    <row r="17">
      <c r="A17" t="inlineStr">
        <is>
          <t>ع۵</t>
        </is>
      </c>
      <c r="B17" t="inlineStr">
        <is>
          <t>Male &amp; Resistant</t>
        </is>
      </c>
      <c r="C17" t="inlineStr">
        <is>
          <t>COUNTIFS(uti!C2:C31,2,uti!L2:L31,1)</t>
        </is>
      </c>
      <c r="D17" s="2">
        <f>COUNTIFS(uti!C2:C31,2,uti!L2:L31,1)</f>
        <v/>
      </c>
      <c r="E17" t="n">
        <v>4</v>
      </c>
    </row>
    <row r="18">
      <c r="A18" t="inlineStr">
        <is>
          <t>ع۵</t>
        </is>
      </c>
      <c r="B18" t="inlineStr">
        <is>
          <t>Male &amp; Susceptible</t>
        </is>
      </c>
      <c r="C18" t="inlineStr">
        <is>
          <t>COUNTIFS(uti!C2:C31,2,uti!L2:L31,0)</t>
        </is>
      </c>
      <c r="D18" s="2">
        <f>COUNTIFS(uti!C2:C31,2,uti!L2:L31,0)</f>
        <v/>
      </c>
      <c r="E18" t="n">
        <v>6</v>
      </c>
    </row>
    <row r="19">
      <c r="A19" t="inlineStr">
        <is>
          <t>ع۶</t>
        </is>
      </c>
      <c r="B19" t="inlineStr">
        <is>
          <t>سطرهای قالب بلند</t>
        </is>
      </c>
      <c r="C19" t="inlineStr">
        <is>
          <t>COUNT(crp_long!A2:A100)</t>
        </is>
      </c>
      <c r="D19" s="2">
        <f>COUNT(crp_long!A2:A100)</f>
        <v/>
      </c>
      <c r="E19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id</t>
        </is>
      </c>
      <c r="B1" s="3" t="inlineStr">
        <is>
          <t>age</t>
        </is>
      </c>
      <c r="C1" s="3" t="inlineStr">
        <is>
          <t>sex</t>
        </is>
      </c>
      <c r="D1" s="3" t="inlineStr">
        <is>
          <t>ward</t>
        </is>
      </c>
      <c r="E1" s="3" t="inlineStr">
        <is>
          <t>organism</t>
        </is>
      </c>
      <c r="F1" s="3" t="inlineStr">
        <is>
          <t>temp</t>
        </is>
      </c>
      <c r="G1" s="3" t="inlineStr">
        <is>
          <t>crp</t>
        </is>
      </c>
      <c r="H1" s="3" t="inlineStr">
        <is>
          <t>wbc</t>
        </is>
      </c>
      <c r="I1" s="3" t="inlineStr">
        <is>
          <t>pain</t>
        </is>
      </c>
      <c r="J1" s="3" t="inlineStr">
        <is>
          <t>severity</t>
        </is>
      </c>
      <c r="K1" s="3" t="inlineStr">
        <is>
          <t>los</t>
        </is>
      </c>
      <c r="L1" s="3" t="inlineStr">
        <is>
          <t>cipro_res</t>
        </is>
      </c>
      <c r="M1" s="4" t="inlineStr">
        <is>
          <t>sex_label</t>
        </is>
      </c>
      <c r="N1" s="4" t="inlineStr">
        <is>
          <t>ward_label</t>
        </is>
      </c>
      <c r="O1" s="4" t="inlineStr">
        <is>
          <t>severity_label</t>
        </is>
      </c>
      <c r="P1" s="4" t="inlineStr">
        <is>
          <t>cipro_res_label</t>
        </is>
      </c>
    </row>
    <row r="2">
      <c r="A2" t="n">
        <v>1</v>
      </c>
      <c r="B2" t="n">
        <v>83</v>
      </c>
      <c r="C2" t="n">
        <v>1</v>
      </c>
      <c r="D2" t="n">
        <v>2</v>
      </c>
      <c r="E2" t="inlineStr">
        <is>
          <t>E. coli</t>
        </is>
      </c>
      <c r="F2" t="n">
        <v>37.6</v>
      </c>
      <c r="G2" t="n">
        <v>27.8</v>
      </c>
      <c r="H2" t="n">
        <v>3.4</v>
      </c>
      <c r="I2" t="n">
        <v>2</v>
      </c>
      <c r="J2" t="n">
        <v>1</v>
      </c>
      <c r="K2" t="n">
        <v>4</v>
      </c>
      <c r="L2" t="n">
        <v>0</v>
      </c>
      <c r="M2">
        <f>VLOOKUP("sex"&amp;"|"&amp;C2,labkey,2,FALSE)</f>
        <v/>
      </c>
      <c r="N2">
        <f>VLOOKUP("ward"&amp;"|"&amp;D2,labkey,2,FALSE)</f>
        <v/>
      </c>
      <c r="O2">
        <f>VLOOKUP("severity"&amp;"|"&amp;J2,labkey,2,FALSE)</f>
        <v/>
      </c>
      <c r="P2">
        <f>VLOOKUP("cipro_res"&amp;"|"&amp;L2,labkey,2,FALSE)</f>
        <v/>
      </c>
    </row>
    <row r="3">
      <c r="A3" t="n">
        <v>2</v>
      </c>
      <c r="B3" t="n">
        <v>33</v>
      </c>
      <c r="C3" t="n">
        <v>1</v>
      </c>
      <c r="D3" t="n">
        <v>1</v>
      </c>
      <c r="E3" t="inlineStr">
        <is>
          <t>Klebsiella</t>
        </is>
      </c>
      <c r="F3" t="n">
        <v>37.8</v>
      </c>
      <c r="G3" t="n">
        <v>51.1</v>
      </c>
      <c r="H3" t="n">
        <v>11.8</v>
      </c>
      <c r="I3" t="n">
        <v>4</v>
      </c>
      <c r="J3" t="n">
        <v>2</v>
      </c>
      <c r="K3" t="n">
        <v>1</v>
      </c>
      <c r="L3" t="n">
        <v>1</v>
      </c>
      <c r="M3">
        <f>VLOOKUP("sex"&amp;"|"&amp;C3,labkey,2,FALSE)</f>
        <v/>
      </c>
      <c r="N3">
        <f>VLOOKUP("ward"&amp;"|"&amp;D3,labkey,2,FALSE)</f>
        <v/>
      </c>
      <c r="O3">
        <f>VLOOKUP("severity"&amp;"|"&amp;J3,labkey,2,FALSE)</f>
        <v/>
      </c>
      <c r="P3">
        <f>VLOOKUP("cipro_res"&amp;"|"&amp;L3,labkey,2,FALSE)</f>
        <v/>
      </c>
    </row>
    <row r="4">
      <c r="A4" t="n">
        <v>3</v>
      </c>
      <c r="B4" t="n">
        <v>81</v>
      </c>
      <c r="C4" t="n">
        <v>1</v>
      </c>
      <c r="D4" t="n">
        <v>3</v>
      </c>
      <c r="E4" t="inlineStr">
        <is>
          <t>Proteus</t>
        </is>
      </c>
      <c r="F4" t="n">
        <v>37.5</v>
      </c>
      <c r="G4" t="n">
        <v>48.4</v>
      </c>
      <c r="H4" t="n">
        <v>11.2</v>
      </c>
      <c r="I4" t="n">
        <v>3</v>
      </c>
      <c r="J4" t="n">
        <v>2</v>
      </c>
      <c r="K4" t="n">
        <v>6</v>
      </c>
      <c r="L4" t="n">
        <v>0</v>
      </c>
      <c r="M4">
        <f>VLOOKUP("sex"&amp;"|"&amp;C4,labkey,2,FALSE)</f>
        <v/>
      </c>
      <c r="N4">
        <f>VLOOKUP("ward"&amp;"|"&amp;D4,labkey,2,FALSE)</f>
        <v/>
      </c>
      <c r="O4">
        <f>VLOOKUP("severity"&amp;"|"&amp;J4,labkey,2,FALSE)</f>
        <v/>
      </c>
      <c r="P4">
        <f>VLOOKUP("cipro_res"&amp;"|"&amp;L4,labkey,2,FALSE)</f>
        <v/>
      </c>
    </row>
    <row r="5">
      <c r="A5" t="n">
        <v>4</v>
      </c>
      <c r="B5" t="n">
        <v>77</v>
      </c>
      <c r="C5" t="n">
        <v>2</v>
      </c>
      <c r="D5" t="n">
        <v>1</v>
      </c>
      <c r="E5" t="inlineStr">
        <is>
          <t>Klebsiella</t>
        </is>
      </c>
      <c r="F5" t="n">
        <v>37.3</v>
      </c>
      <c r="G5" t="n">
        <v>82.5</v>
      </c>
      <c r="H5" t="n">
        <v>8.4</v>
      </c>
      <c r="I5" t="n">
        <v>3</v>
      </c>
      <c r="J5" t="n">
        <v>1</v>
      </c>
      <c r="K5" t="n">
        <v>3</v>
      </c>
      <c r="L5" t="n">
        <v>1</v>
      </c>
      <c r="M5">
        <f>VLOOKUP("sex"&amp;"|"&amp;C5,labkey,2,FALSE)</f>
        <v/>
      </c>
      <c r="N5">
        <f>VLOOKUP("ward"&amp;"|"&amp;D5,labkey,2,FALSE)</f>
        <v/>
      </c>
      <c r="O5">
        <f>VLOOKUP("severity"&amp;"|"&amp;J5,labkey,2,FALSE)</f>
        <v/>
      </c>
      <c r="P5">
        <f>VLOOKUP("cipro_res"&amp;"|"&amp;L5,labkey,2,FALSE)</f>
        <v/>
      </c>
    </row>
    <row r="6">
      <c r="A6" t="n">
        <v>5</v>
      </c>
      <c r="B6" t="n">
        <v>83</v>
      </c>
      <c r="C6" t="n">
        <v>1</v>
      </c>
      <c r="D6" t="n">
        <v>1</v>
      </c>
      <c r="E6" t="inlineStr">
        <is>
          <t>E. coli</t>
        </is>
      </c>
      <c r="F6" t="n">
        <v>38</v>
      </c>
      <c r="G6" t="n">
        <v>33.9</v>
      </c>
      <c r="H6" t="n">
        <v>10.2</v>
      </c>
      <c r="I6" t="n">
        <v>3</v>
      </c>
      <c r="J6" t="n">
        <v>1</v>
      </c>
      <c r="K6" t="n">
        <v>2</v>
      </c>
      <c r="L6" t="n">
        <v>0</v>
      </c>
      <c r="M6">
        <f>VLOOKUP("sex"&amp;"|"&amp;C6,labkey,2,FALSE)</f>
        <v/>
      </c>
      <c r="N6">
        <f>VLOOKUP("ward"&amp;"|"&amp;D6,labkey,2,FALSE)</f>
        <v/>
      </c>
      <c r="O6">
        <f>VLOOKUP("severity"&amp;"|"&amp;J6,labkey,2,FALSE)</f>
        <v/>
      </c>
      <c r="P6">
        <f>VLOOKUP("cipro_res"&amp;"|"&amp;L6,labkey,2,FALSE)</f>
        <v/>
      </c>
    </row>
    <row r="7">
      <c r="A7" t="n">
        <v>6</v>
      </c>
      <c r="B7" t="n">
        <v>72</v>
      </c>
      <c r="C7" t="n">
        <v>2</v>
      </c>
      <c r="D7" t="n">
        <v>1</v>
      </c>
      <c r="E7" t="inlineStr">
        <is>
          <t>Klebsiella</t>
        </is>
      </c>
      <c r="F7" t="n">
        <v>37.7</v>
      </c>
      <c r="G7" t="n">
        <v>24</v>
      </c>
      <c r="H7" t="n">
        <v>11.4</v>
      </c>
      <c r="I7" t="n">
        <v>5</v>
      </c>
      <c r="J7" t="n">
        <v>2</v>
      </c>
      <c r="K7" t="n">
        <v>4</v>
      </c>
      <c r="L7" t="n">
        <v>1</v>
      </c>
      <c r="M7">
        <f>VLOOKUP("sex"&amp;"|"&amp;C7,labkey,2,FALSE)</f>
        <v/>
      </c>
      <c r="N7">
        <f>VLOOKUP("ward"&amp;"|"&amp;D7,labkey,2,FALSE)</f>
        <v/>
      </c>
      <c r="O7">
        <f>VLOOKUP("severity"&amp;"|"&amp;J7,labkey,2,FALSE)</f>
        <v/>
      </c>
      <c r="P7">
        <f>VLOOKUP("cipro_res"&amp;"|"&amp;L7,labkey,2,FALSE)</f>
        <v/>
      </c>
    </row>
    <row r="8">
      <c r="A8" t="n">
        <v>7</v>
      </c>
      <c r="B8" t="n">
        <v>54</v>
      </c>
      <c r="C8" t="n">
        <v>1</v>
      </c>
      <c r="D8" t="n">
        <v>2</v>
      </c>
      <c r="E8" t="inlineStr">
        <is>
          <t>E. coli</t>
        </is>
      </c>
      <c r="F8" t="n">
        <v>38.5</v>
      </c>
      <c r="G8" t="n">
        <v>-99</v>
      </c>
      <c r="H8" t="n">
        <v>13.3</v>
      </c>
      <c r="I8" t="n">
        <v>7</v>
      </c>
      <c r="J8" t="n">
        <v>3</v>
      </c>
      <c r="K8" t="n">
        <v>13</v>
      </c>
      <c r="L8" t="n">
        <v>0</v>
      </c>
      <c r="M8">
        <f>VLOOKUP("sex"&amp;"|"&amp;C8,labkey,2,FALSE)</f>
        <v/>
      </c>
      <c r="N8">
        <f>VLOOKUP("ward"&amp;"|"&amp;D8,labkey,2,FALSE)</f>
        <v/>
      </c>
      <c r="O8">
        <f>VLOOKUP("severity"&amp;"|"&amp;J8,labkey,2,FALSE)</f>
        <v/>
      </c>
      <c r="P8">
        <f>VLOOKUP("cipro_res"&amp;"|"&amp;L8,labkey,2,FALSE)</f>
        <v/>
      </c>
    </row>
    <row r="9">
      <c r="A9" t="n">
        <v>8</v>
      </c>
      <c r="B9" t="n">
        <v>59</v>
      </c>
      <c r="C9" t="n">
        <v>1</v>
      </c>
      <c r="D9" t="n">
        <v>1</v>
      </c>
      <c r="E9" t="inlineStr">
        <is>
          <t>Klebsiella</t>
        </is>
      </c>
      <c r="F9" t="n">
        <v>38.4</v>
      </c>
      <c r="G9" t="n">
        <v>14.7</v>
      </c>
      <c r="H9" t="n">
        <v>6.8</v>
      </c>
      <c r="I9" t="n">
        <v>3</v>
      </c>
      <c r="J9" t="n">
        <v>1</v>
      </c>
      <c r="K9" t="n">
        <v>2</v>
      </c>
      <c r="L9" t="n">
        <v>1</v>
      </c>
      <c r="M9">
        <f>VLOOKUP("sex"&amp;"|"&amp;C9,labkey,2,FALSE)</f>
        <v/>
      </c>
      <c r="N9">
        <f>VLOOKUP("ward"&amp;"|"&amp;D9,labkey,2,FALSE)</f>
        <v/>
      </c>
      <c r="O9">
        <f>VLOOKUP("severity"&amp;"|"&amp;J9,labkey,2,FALSE)</f>
        <v/>
      </c>
      <c r="P9">
        <f>VLOOKUP("cipro_res"&amp;"|"&amp;L9,labkey,2,FALSE)</f>
        <v/>
      </c>
    </row>
    <row r="10">
      <c r="A10" t="n">
        <v>9</v>
      </c>
      <c r="B10" t="n">
        <v>32</v>
      </c>
      <c r="C10" t="n">
        <v>1</v>
      </c>
      <c r="D10" t="n">
        <v>1</v>
      </c>
      <c r="E10" t="inlineStr">
        <is>
          <t>E. coli</t>
        </is>
      </c>
      <c r="F10" t="n">
        <v>38.5</v>
      </c>
      <c r="G10" t="n">
        <v>52.2</v>
      </c>
      <c r="H10" t="n">
        <v>8.800000000000001</v>
      </c>
      <c r="I10" t="n">
        <v>4</v>
      </c>
      <c r="J10" t="n">
        <v>2</v>
      </c>
      <c r="K10" t="n">
        <v>5</v>
      </c>
      <c r="L10" t="n">
        <v>1</v>
      </c>
      <c r="M10">
        <f>VLOOKUP("sex"&amp;"|"&amp;C10,labkey,2,FALSE)</f>
        <v/>
      </c>
      <c r="N10">
        <f>VLOOKUP("ward"&amp;"|"&amp;D10,labkey,2,FALSE)</f>
        <v/>
      </c>
      <c r="O10">
        <f>VLOOKUP("severity"&amp;"|"&amp;J10,labkey,2,FALSE)</f>
        <v/>
      </c>
      <c r="P10">
        <f>VLOOKUP("cipro_res"&amp;"|"&amp;L10,labkey,2,FALSE)</f>
        <v/>
      </c>
    </row>
    <row r="11">
      <c r="A11" t="n">
        <v>10</v>
      </c>
      <c r="B11" t="n">
        <v>42</v>
      </c>
      <c r="C11" t="n">
        <v>1</v>
      </c>
      <c r="D11" t="n">
        <v>1</v>
      </c>
      <c r="E11" t="inlineStr">
        <is>
          <t>E. coli</t>
        </is>
      </c>
      <c r="F11" t="n">
        <v>38.3</v>
      </c>
      <c r="G11" t="n">
        <v>31</v>
      </c>
      <c r="H11" t="n">
        <v>9.6</v>
      </c>
      <c r="I11" t="n">
        <v>3</v>
      </c>
      <c r="J11" t="n">
        <v>1</v>
      </c>
      <c r="K11" t="n">
        <v>3</v>
      </c>
      <c r="L11" t="n">
        <v>1</v>
      </c>
      <c r="M11">
        <f>VLOOKUP("sex"&amp;"|"&amp;C11,labkey,2,FALSE)</f>
        <v/>
      </c>
      <c r="N11">
        <f>VLOOKUP("ward"&amp;"|"&amp;D11,labkey,2,FALSE)</f>
        <v/>
      </c>
      <c r="O11">
        <f>VLOOKUP("severity"&amp;"|"&amp;J11,labkey,2,FALSE)</f>
        <v/>
      </c>
      <c r="P11">
        <f>VLOOKUP("cipro_res"&amp;"|"&amp;L11,labkey,2,FALSE)</f>
        <v/>
      </c>
    </row>
    <row r="12">
      <c r="A12" t="n">
        <v>11</v>
      </c>
      <c r="B12" t="n">
        <v>50</v>
      </c>
      <c r="C12" t="n">
        <v>2</v>
      </c>
      <c r="D12" t="n">
        <v>2</v>
      </c>
      <c r="E12" t="inlineStr">
        <is>
          <t>E. coli</t>
        </is>
      </c>
      <c r="F12" t="n">
        <v>38.4</v>
      </c>
      <c r="G12" t="n">
        <v>40.6</v>
      </c>
      <c r="H12" t="n">
        <v>13.1</v>
      </c>
      <c r="I12" t="n">
        <v>5</v>
      </c>
      <c r="J12" t="n">
        <v>3</v>
      </c>
      <c r="K12" t="n">
        <v>5</v>
      </c>
      <c r="L12" t="n">
        <v>0</v>
      </c>
      <c r="M12">
        <f>VLOOKUP("sex"&amp;"|"&amp;C12,labkey,2,FALSE)</f>
        <v/>
      </c>
      <c r="N12">
        <f>VLOOKUP("ward"&amp;"|"&amp;D12,labkey,2,FALSE)</f>
        <v/>
      </c>
      <c r="O12">
        <f>VLOOKUP("severity"&amp;"|"&amp;J12,labkey,2,FALSE)</f>
        <v/>
      </c>
      <c r="P12">
        <f>VLOOKUP("cipro_res"&amp;"|"&amp;L12,labkey,2,FALSE)</f>
        <v/>
      </c>
    </row>
    <row r="13">
      <c r="A13" t="n">
        <v>12</v>
      </c>
      <c r="B13" t="n">
        <v>82</v>
      </c>
      <c r="C13" t="n">
        <v>1</v>
      </c>
      <c r="D13" t="n">
        <v>1</v>
      </c>
      <c r="E13" t="inlineStr">
        <is>
          <t>E. coli</t>
        </is>
      </c>
      <c r="F13" t="n">
        <v>37.8</v>
      </c>
      <c r="G13" t="n">
        <v>113.1</v>
      </c>
      <c r="I13" t="n">
        <v>7</v>
      </c>
      <c r="J13" t="n">
        <v>3</v>
      </c>
      <c r="K13" t="n">
        <v>8</v>
      </c>
      <c r="L13" t="n">
        <v>0</v>
      </c>
      <c r="M13">
        <f>VLOOKUP("sex"&amp;"|"&amp;C13,labkey,2,FALSE)</f>
        <v/>
      </c>
      <c r="N13">
        <f>VLOOKUP("ward"&amp;"|"&amp;D13,labkey,2,FALSE)</f>
        <v/>
      </c>
      <c r="O13">
        <f>VLOOKUP("severity"&amp;"|"&amp;J13,labkey,2,FALSE)</f>
        <v/>
      </c>
      <c r="P13">
        <f>VLOOKUP("cipro_res"&amp;"|"&amp;L13,labkey,2,FALSE)</f>
        <v/>
      </c>
    </row>
    <row r="14">
      <c r="A14" t="n">
        <v>13</v>
      </c>
      <c r="B14" t="n">
        <v>72</v>
      </c>
      <c r="C14" t="n">
        <v>1</v>
      </c>
      <c r="D14" t="n">
        <v>2</v>
      </c>
      <c r="E14" t="inlineStr">
        <is>
          <t>E. coli</t>
        </is>
      </c>
      <c r="F14" t="n">
        <v>38.7</v>
      </c>
      <c r="G14" t="n">
        <v>42.9</v>
      </c>
      <c r="H14" t="n">
        <v>11.2</v>
      </c>
      <c r="I14" t="n">
        <v>5</v>
      </c>
      <c r="J14" t="n">
        <v>2</v>
      </c>
      <c r="K14" t="n">
        <v>5</v>
      </c>
      <c r="L14" t="n">
        <v>1</v>
      </c>
      <c r="M14">
        <f>VLOOKUP("sex"&amp;"|"&amp;C14,labkey,2,FALSE)</f>
        <v/>
      </c>
      <c r="N14">
        <f>VLOOKUP("ward"&amp;"|"&amp;D14,labkey,2,FALSE)</f>
        <v/>
      </c>
      <c r="O14">
        <f>VLOOKUP("severity"&amp;"|"&amp;J14,labkey,2,FALSE)</f>
        <v/>
      </c>
      <c r="P14">
        <f>VLOOKUP("cipro_res"&amp;"|"&amp;L14,labkey,2,FALSE)</f>
        <v/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E. coli</t>
        </is>
      </c>
      <c r="F15" t="n">
        <v>37.7</v>
      </c>
      <c r="G15" t="n">
        <v>47.3</v>
      </c>
      <c r="H15" t="n">
        <v>11.6</v>
      </c>
      <c r="I15" t="n">
        <v>7</v>
      </c>
      <c r="J15" t="n">
        <v>2</v>
      </c>
      <c r="K15" t="n">
        <v>7</v>
      </c>
      <c r="L15" t="n">
        <v>0</v>
      </c>
      <c r="M15">
        <f>VLOOKUP("sex"&amp;"|"&amp;C15,labkey,2,FALSE)</f>
        <v/>
      </c>
      <c r="N15">
        <f>VLOOKUP("ward"&amp;"|"&amp;D15,labkey,2,FALSE)</f>
        <v/>
      </c>
      <c r="O15">
        <f>VLOOKUP("severity"&amp;"|"&amp;J15,labkey,2,FALSE)</f>
        <v/>
      </c>
      <c r="P15">
        <f>VLOOKUP("cipro_res"&amp;"|"&amp;L15,labkey,2,FALSE)</f>
        <v/>
      </c>
    </row>
    <row r="16">
      <c r="A16" t="n">
        <v>15</v>
      </c>
      <c r="B16" t="n">
        <v>58</v>
      </c>
      <c r="C16" t="n">
        <v>2</v>
      </c>
      <c r="D16" t="n">
        <v>3</v>
      </c>
      <c r="E16" t="inlineStr">
        <is>
          <t>E. coli</t>
        </is>
      </c>
      <c r="F16" t="n">
        <v>38.2</v>
      </c>
      <c r="G16" t="n">
        <v>27</v>
      </c>
      <c r="H16" t="n">
        <v>11.1</v>
      </c>
      <c r="I16" t="n">
        <v>7</v>
      </c>
      <c r="J16" t="n">
        <v>2</v>
      </c>
      <c r="K16" t="n">
        <v>12</v>
      </c>
      <c r="L16" t="n">
        <v>0</v>
      </c>
      <c r="M16">
        <f>VLOOKUP("sex"&amp;"|"&amp;C16,labkey,2,FALSE)</f>
        <v/>
      </c>
      <c r="N16">
        <f>VLOOKUP("ward"&amp;"|"&amp;D16,labkey,2,FALSE)</f>
        <v/>
      </c>
      <c r="O16">
        <f>VLOOKUP("severity"&amp;"|"&amp;J16,labkey,2,FALSE)</f>
        <v/>
      </c>
      <c r="P16">
        <f>VLOOKUP("cipro_res"&amp;"|"&amp;L16,labkey,2,FALSE)</f>
        <v/>
      </c>
    </row>
    <row r="17">
      <c r="A17" t="n">
        <v>16</v>
      </c>
      <c r="B17" t="n">
        <v>47</v>
      </c>
      <c r="C17" t="n">
        <v>1</v>
      </c>
      <c r="D17" t="n">
        <v>3</v>
      </c>
      <c r="E17" t="inlineStr">
        <is>
          <t>Klebsiella</t>
        </is>
      </c>
      <c r="F17" t="n">
        <v>38.8</v>
      </c>
      <c r="G17" t="n">
        <v>108.4</v>
      </c>
      <c r="H17" t="n">
        <v>13.2</v>
      </c>
      <c r="I17" t="n">
        <v>9</v>
      </c>
      <c r="J17" t="n">
        <v>3</v>
      </c>
      <c r="K17" t="n">
        <v>7</v>
      </c>
      <c r="L17" t="n">
        <v>0</v>
      </c>
      <c r="M17">
        <f>VLOOKUP("sex"&amp;"|"&amp;C17,labkey,2,FALSE)</f>
        <v/>
      </c>
      <c r="N17">
        <f>VLOOKUP("ward"&amp;"|"&amp;D17,labkey,2,FALSE)</f>
        <v/>
      </c>
      <c r="O17">
        <f>VLOOKUP("severity"&amp;"|"&amp;J17,labkey,2,FALSE)</f>
        <v/>
      </c>
      <c r="P17">
        <f>VLOOKUP("cipro_res"&amp;"|"&amp;L17,labkey,2,FALSE)</f>
        <v/>
      </c>
    </row>
    <row r="18">
      <c r="A18" t="n">
        <v>17</v>
      </c>
      <c r="B18" t="n">
        <v>47</v>
      </c>
      <c r="C18" t="n">
        <v>1</v>
      </c>
      <c r="D18" t="n">
        <v>1</v>
      </c>
      <c r="E18" t="inlineStr">
        <is>
          <t>Proteus</t>
        </is>
      </c>
      <c r="F18" t="n">
        <v>37.9</v>
      </c>
      <c r="G18" t="n">
        <v>24.8</v>
      </c>
      <c r="H18" t="n">
        <v>11.4</v>
      </c>
      <c r="I18" t="n">
        <v>8</v>
      </c>
      <c r="J18" t="n">
        <v>2</v>
      </c>
      <c r="K18" t="n">
        <v>3</v>
      </c>
      <c r="L18" t="n">
        <v>0</v>
      </c>
      <c r="M18">
        <f>VLOOKUP("sex"&amp;"|"&amp;C18,labkey,2,FALSE)</f>
        <v/>
      </c>
      <c r="N18">
        <f>VLOOKUP("ward"&amp;"|"&amp;D18,labkey,2,FALSE)</f>
        <v/>
      </c>
      <c r="O18">
        <f>VLOOKUP("severity"&amp;"|"&amp;J18,labkey,2,FALSE)</f>
        <v/>
      </c>
      <c r="P18">
        <f>VLOOKUP("cipro_res"&amp;"|"&amp;L18,labkey,2,FALSE)</f>
        <v/>
      </c>
    </row>
    <row r="19">
      <c r="A19" t="n">
        <v>18</v>
      </c>
      <c r="B19" t="n">
        <v>79</v>
      </c>
      <c r="C19" t="n">
        <v>1</v>
      </c>
      <c r="D19" t="n">
        <v>3</v>
      </c>
      <c r="E19" t="inlineStr">
        <is>
          <t>E. coli</t>
        </is>
      </c>
      <c r="F19" t="n">
        <v>38.2</v>
      </c>
      <c r="G19" t="n">
        <v>10</v>
      </c>
      <c r="H19" t="n">
        <v>10.4</v>
      </c>
      <c r="I19" t="n">
        <v>2</v>
      </c>
      <c r="J19" t="n">
        <v>1</v>
      </c>
      <c r="K19" t="n">
        <v>2</v>
      </c>
      <c r="L19" t="n">
        <v>0</v>
      </c>
      <c r="M19">
        <f>VLOOKUP("sex"&amp;"|"&amp;C19,labkey,2,FALSE)</f>
        <v/>
      </c>
      <c r="N19">
        <f>VLOOKUP("ward"&amp;"|"&amp;D19,labkey,2,FALSE)</f>
        <v/>
      </c>
      <c r="O19">
        <f>VLOOKUP("severity"&amp;"|"&amp;J19,labkey,2,FALSE)</f>
        <v/>
      </c>
      <c r="P19">
        <f>VLOOKUP("cipro_res"&amp;"|"&amp;L19,labkey,2,FALSE)</f>
        <v/>
      </c>
    </row>
    <row r="20">
      <c r="A20" t="n">
        <v>19</v>
      </c>
      <c r="B20" t="n">
        <v>19</v>
      </c>
      <c r="C20" t="n">
        <v>1</v>
      </c>
      <c r="D20" t="n">
        <v>2</v>
      </c>
      <c r="E20" t="inlineStr">
        <is>
          <t>E. coli</t>
        </is>
      </c>
      <c r="F20" t="n">
        <v>38.2</v>
      </c>
      <c r="G20" t="n">
        <v>-99</v>
      </c>
      <c r="H20" t="n">
        <v>8.199999999999999</v>
      </c>
      <c r="I20" t="n">
        <v>4</v>
      </c>
      <c r="J20" t="n">
        <v>1</v>
      </c>
      <c r="K20" t="n">
        <v>4</v>
      </c>
      <c r="L20" t="n">
        <v>0</v>
      </c>
      <c r="M20">
        <f>VLOOKUP("sex"&amp;"|"&amp;C20,labkey,2,FALSE)</f>
        <v/>
      </c>
      <c r="N20">
        <f>VLOOKUP("ward"&amp;"|"&amp;D20,labkey,2,FALSE)</f>
        <v/>
      </c>
      <c r="O20">
        <f>VLOOKUP("severity"&amp;"|"&amp;J20,labkey,2,FALSE)</f>
        <v/>
      </c>
      <c r="P20">
        <f>VLOOKUP("cipro_res"&amp;"|"&amp;L20,labkey,2,FALSE)</f>
        <v/>
      </c>
    </row>
    <row r="21">
      <c r="A21" t="n">
        <v>20</v>
      </c>
      <c r="B21" t="n">
        <v>40</v>
      </c>
      <c r="C21" t="n">
        <v>2</v>
      </c>
      <c r="D21" t="n">
        <v>2</v>
      </c>
      <c r="E21" t="inlineStr">
        <is>
          <t>E. coli</t>
        </is>
      </c>
      <c r="F21" t="n">
        <v>37.9</v>
      </c>
      <c r="G21" t="n">
        <v>18.3</v>
      </c>
      <c r="H21" t="n">
        <v>10.2</v>
      </c>
      <c r="I21" t="n">
        <v>5</v>
      </c>
      <c r="J21" t="n">
        <v>1</v>
      </c>
      <c r="K21" t="n">
        <v>3</v>
      </c>
      <c r="L21" t="n">
        <v>1</v>
      </c>
      <c r="M21">
        <f>VLOOKUP("sex"&amp;"|"&amp;C21,labkey,2,FALSE)</f>
        <v/>
      </c>
      <c r="N21">
        <f>VLOOKUP("ward"&amp;"|"&amp;D21,labkey,2,FALSE)</f>
        <v/>
      </c>
      <c r="O21">
        <f>VLOOKUP("severity"&amp;"|"&amp;J21,labkey,2,FALSE)</f>
        <v/>
      </c>
      <c r="P21">
        <f>VLOOKUP("cipro_res"&amp;"|"&amp;L21,labkey,2,FALSE)</f>
        <v/>
      </c>
    </row>
    <row r="22">
      <c r="A22" t="n">
        <v>21</v>
      </c>
      <c r="B22" t="n">
        <v>46</v>
      </c>
      <c r="C22" t="n">
        <v>2</v>
      </c>
      <c r="D22" t="n">
        <v>2</v>
      </c>
      <c r="E22" t="inlineStr">
        <is>
          <t>E. coli</t>
        </is>
      </c>
      <c r="F22" t="n">
        <v>38.2</v>
      </c>
      <c r="G22" t="n">
        <v>37.3</v>
      </c>
      <c r="H22" t="n">
        <v>12</v>
      </c>
      <c r="I22" t="n">
        <v>6</v>
      </c>
      <c r="J22" t="n">
        <v>2</v>
      </c>
      <c r="K22" t="n">
        <v>6</v>
      </c>
      <c r="L22" t="n">
        <v>0</v>
      </c>
      <c r="M22">
        <f>VLOOKUP("sex"&amp;"|"&amp;C22,labkey,2,FALSE)</f>
        <v/>
      </c>
      <c r="N22">
        <f>VLOOKUP("ward"&amp;"|"&amp;D22,labkey,2,FALSE)</f>
        <v/>
      </c>
      <c r="O22">
        <f>VLOOKUP("severity"&amp;"|"&amp;J22,labkey,2,FALSE)</f>
        <v/>
      </c>
      <c r="P22">
        <f>VLOOKUP("cipro_res"&amp;"|"&amp;L22,labkey,2,FALSE)</f>
        <v/>
      </c>
    </row>
    <row r="23">
      <c r="A23" t="n">
        <v>22</v>
      </c>
      <c r="B23" t="n">
        <v>65</v>
      </c>
      <c r="C23" t="n">
        <v>1</v>
      </c>
      <c r="D23" t="n">
        <v>2</v>
      </c>
      <c r="E23" t="inlineStr">
        <is>
          <t>Klebsiella</t>
        </is>
      </c>
      <c r="F23" t="n">
        <v>38.3</v>
      </c>
      <c r="G23" t="n">
        <v>86.90000000000001</v>
      </c>
      <c r="H23" t="n">
        <v>11.2</v>
      </c>
      <c r="I23" t="n">
        <v>8</v>
      </c>
      <c r="J23" t="n">
        <v>2</v>
      </c>
      <c r="K23" t="n">
        <v>4</v>
      </c>
      <c r="L23" t="n">
        <v>0</v>
      </c>
      <c r="M23">
        <f>VLOOKUP("sex"&amp;"|"&amp;C23,labkey,2,FALSE)</f>
        <v/>
      </c>
      <c r="N23">
        <f>VLOOKUP("ward"&amp;"|"&amp;D23,labkey,2,FALSE)</f>
        <v/>
      </c>
      <c r="O23">
        <f>VLOOKUP("severity"&amp;"|"&amp;J23,labkey,2,FALSE)</f>
        <v/>
      </c>
      <c r="P23">
        <f>VLOOKUP("cipro_res"&amp;"|"&amp;L23,labkey,2,FALSE)</f>
        <v/>
      </c>
    </row>
    <row r="24">
      <c r="A24" t="n">
        <v>23</v>
      </c>
      <c r="B24" t="n">
        <v>46</v>
      </c>
      <c r="C24" t="n">
        <v>1</v>
      </c>
      <c r="D24" t="n">
        <v>3</v>
      </c>
      <c r="E24" t="inlineStr">
        <is>
          <t>Klebsiella</t>
        </is>
      </c>
      <c r="F24" t="n">
        <v>37.8</v>
      </c>
      <c r="G24" t="n">
        <v>61</v>
      </c>
      <c r="H24" t="n">
        <v>10.3</v>
      </c>
      <c r="I24" t="n">
        <v>8</v>
      </c>
      <c r="J24" t="n">
        <v>2</v>
      </c>
      <c r="K24" t="n">
        <v>6</v>
      </c>
      <c r="L24" t="n">
        <v>0</v>
      </c>
      <c r="M24">
        <f>VLOOKUP("sex"&amp;"|"&amp;C24,labkey,2,FALSE)</f>
        <v/>
      </c>
      <c r="N24">
        <f>VLOOKUP("ward"&amp;"|"&amp;D24,labkey,2,FALSE)</f>
        <v/>
      </c>
      <c r="O24">
        <f>VLOOKUP("severity"&amp;"|"&amp;J24,labkey,2,FALSE)</f>
        <v/>
      </c>
      <c r="P24">
        <f>VLOOKUP("cipro_res"&amp;"|"&amp;L24,labkey,2,FALSE)</f>
        <v/>
      </c>
    </row>
    <row r="25">
      <c r="A25" t="n">
        <v>24</v>
      </c>
      <c r="B25" t="n">
        <v>40</v>
      </c>
      <c r="C25" t="n">
        <v>2</v>
      </c>
      <c r="D25" t="n">
        <v>1</v>
      </c>
      <c r="E25" t="inlineStr">
        <is>
          <t>E. coli</t>
        </is>
      </c>
      <c r="F25" t="n">
        <v>37.6</v>
      </c>
      <c r="G25" t="n">
        <v>29.5</v>
      </c>
      <c r="H25" t="n">
        <v>9.6</v>
      </c>
      <c r="I25" t="n">
        <v>5</v>
      </c>
      <c r="J25" t="n">
        <v>1</v>
      </c>
      <c r="K25" t="n">
        <v>3</v>
      </c>
      <c r="L25" t="n">
        <v>0</v>
      </c>
      <c r="M25">
        <f>VLOOKUP("sex"&amp;"|"&amp;C25,labkey,2,FALSE)</f>
        <v/>
      </c>
      <c r="N25">
        <f>VLOOKUP("ward"&amp;"|"&amp;D25,labkey,2,FALSE)</f>
        <v/>
      </c>
      <c r="O25">
        <f>VLOOKUP("severity"&amp;"|"&amp;J25,labkey,2,FALSE)</f>
        <v/>
      </c>
      <c r="P25">
        <f>VLOOKUP("cipro_res"&amp;"|"&amp;L25,labkey,2,FALSE)</f>
        <v/>
      </c>
    </row>
    <row r="26">
      <c r="A26" t="n">
        <v>25</v>
      </c>
      <c r="B26" t="n">
        <v>24</v>
      </c>
      <c r="C26" t="n">
        <v>1</v>
      </c>
      <c r="D26" t="n">
        <v>2</v>
      </c>
      <c r="E26" t="inlineStr">
        <is>
          <t>E. coli</t>
        </is>
      </c>
      <c r="F26" t="n">
        <v>38.2</v>
      </c>
      <c r="G26" t="n">
        <v>59.2</v>
      </c>
      <c r="H26" t="n">
        <v>12.3</v>
      </c>
      <c r="I26" t="n">
        <v>6</v>
      </c>
      <c r="J26" t="n">
        <v>2</v>
      </c>
      <c r="K26" t="n">
        <v>3</v>
      </c>
      <c r="L26" t="n">
        <v>1</v>
      </c>
      <c r="M26">
        <f>VLOOKUP("sex"&amp;"|"&amp;C26,labkey,2,FALSE)</f>
        <v/>
      </c>
      <c r="N26">
        <f>VLOOKUP("ward"&amp;"|"&amp;D26,labkey,2,FALSE)</f>
        <v/>
      </c>
      <c r="O26">
        <f>VLOOKUP("severity"&amp;"|"&amp;J26,labkey,2,FALSE)</f>
        <v/>
      </c>
      <c r="P26">
        <f>VLOOKUP("cipro_res"&amp;"|"&amp;L26,labkey,2,FALSE)</f>
        <v/>
      </c>
    </row>
    <row r="27">
      <c r="A27" t="n">
        <v>26</v>
      </c>
      <c r="B27" t="n">
        <v>36</v>
      </c>
      <c r="C27" t="n">
        <v>1</v>
      </c>
      <c r="D27" t="n">
        <v>3</v>
      </c>
      <c r="E27" t="inlineStr">
        <is>
          <t>Proteus</t>
        </is>
      </c>
      <c r="F27" t="n">
        <v>37.4</v>
      </c>
      <c r="G27" t="n">
        <v>16</v>
      </c>
      <c r="H27" t="n">
        <v>7.4</v>
      </c>
      <c r="I27" t="n">
        <v>2</v>
      </c>
      <c r="J27" t="n">
        <v>1</v>
      </c>
      <c r="K27" t="n">
        <v>3</v>
      </c>
      <c r="L27" t="n">
        <v>1</v>
      </c>
      <c r="M27">
        <f>VLOOKUP("sex"&amp;"|"&amp;C27,labkey,2,FALSE)</f>
        <v/>
      </c>
      <c r="N27">
        <f>VLOOKUP("ward"&amp;"|"&amp;D27,labkey,2,FALSE)</f>
        <v/>
      </c>
      <c r="O27">
        <f>VLOOKUP("severity"&amp;"|"&amp;J27,labkey,2,FALSE)</f>
        <v/>
      </c>
      <c r="P27">
        <f>VLOOKUP("cipro_res"&amp;"|"&amp;L27,labkey,2,FALSE)</f>
        <v/>
      </c>
    </row>
    <row r="28">
      <c r="A28" t="n">
        <v>27</v>
      </c>
      <c r="B28" t="n">
        <v>26</v>
      </c>
      <c r="C28" t="n">
        <v>1</v>
      </c>
      <c r="D28" t="n">
        <v>1</v>
      </c>
      <c r="E28" t="inlineStr">
        <is>
          <t>Klebsiella</t>
        </is>
      </c>
      <c r="F28" t="n">
        <v>38</v>
      </c>
      <c r="G28" t="n">
        <v>31.2</v>
      </c>
      <c r="H28" t="n">
        <v>9.1</v>
      </c>
      <c r="I28" t="n">
        <v>2</v>
      </c>
      <c r="J28" t="n">
        <v>1</v>
      </c>
      <c r="K28" t="n">
        <v>4</v>
      </c>
      <c r="L28" t="n">
        <v>0</v>
      </c>
      <c r="M28">
        <f>VLOOKUP("sex"&amp;"|"&amp;C28,labkey,2,FALSE)</f>
        <v/>
      </c>
      <c r="N28">
        <f>VLOOKUP("ward"&amp;"|"&amp;D28,labkey,2,FALSE)</f>
        <v/>
      </c>
      <c r="O28">
        <f>VLOOKUP("severity"&amp;"|"&amp;J28,labkey,2,FALSE)</f>
        <v/>
      </c>
      <c r="P28">
        <f>VLOOKUP("cipro_res"&amp;"|"&amp;L28,labkey,2,FALSE)</f>
        <v/>
      </c>
    </row>
    <row r="29">
      <c r="A29" t="n">
        <v>28</v>
      </c>
      <c r="B29" t="n">
        <v>65</v>
      </c>
      <c r="C29" t="n">
        <v>2</v>
      </c>
      <c r="D29" t="n">
        <v>2</v>
      </c>
      <c r="E29" t="inlineStr">
        <is>
          <t>Klebsiella</t>
        </is>
      </c>
      <c r="F29" t="n">
        <v>37.7</v>
      </c>
      <c r="G29" t="n">
        <v>60.3</v>
      </c>
      <c r="H29" t="n">
        <v>11.1</v>
      </c>
      <c r="I29" t="n">
        <v>6</v>
      </c>
      <c r="J29" t="n">
        <v>2</v>
      </c>
      <c r="K29" t="n">
        <v>6</v>
      </c>
      <c r="L29" t="n">
        <v>0</v>
      </c>
      <c r="M29">
        <f>VLOOKUP("sex"&amp;"|"&amp;C29,labkey,2,FALSE)</f>
        <v/>
      </c>
      <c r="N29">
        <f>VLOOKUP("ward"&amp;"|"&amp;D29,labkey,2,FALSE)</f>
        <v/>
      </c>
      <c r="O29">
        <f>VLOOKUP("severity"&amp;"|"&amp;J29,labkey,2,FALSE)</f>
        <v/>
      </c>
      <c r="P29">
        <f>VLOOKUP("cipro_res"&amp;"|"&amp;L29,labkey,2,FALSE)</f>
        <v/>
      </c>
    </row>
    <row r="30">
      <c r="A30" t="n">
        <v>29</v>
      </c>
      <c r="B30" t="n">
        <v>47</v>
      </c>
      <c r="C30" t="n">
        <v>2</v>
      </c>
      <c r="D30" t="n">
        <v>1</v>
      </c>
      <c r="E30" t="inlineStr">
        <is>
          <t>Proteus</t>
        </is>
      </c>
      <c r="F30" t="n">
        <v>38</v>
      </c>
      <c r="G30" t="n">
        <v>51.4</v>
      </c>
      <c r="H30" t="n">
        <v>10</v>
      </c>
      <c r="I30" t="n">
        <v>5</v>
      </c>
      <c r="J30" t="n">
        <v>2</v>
      </c>
      <c r="K30" t="n">
        <v>5</v>
      </c>
      <c r="L30" t="n">
        <v>0</v>
      </c>
      <c r="M30">
        <f>VLOOKUP("sex"&amp;"|"&amp;C30,labkey,2,FALSE)</f>
        <v/>
      </c>
      <c r="N30">
        <f>VLOOKUP("ward"&amp;"|"&amp;D30,labkey,2,FALSE)</f>
        <v/>
      </c>
      <c r="O30">
        <f>VLOOKUP("severity"&amp;"|"&amp;J30,labkey,2,FALSE)</f>
        <v/>
      </c>
      <c r="P30">
        <f>VLOOKUP("cipro_res"&amp;"|"&amp;L30,labkey,2,FALSE)</f>
        <v/>
      </c>
    </row>
    <row r="31">
      <c r="A31" t="n">
        <v>30</v>
      </c>
      <c r="B31" t="n">
        <v>34</v>
      </c>
      <c r="C31" t="n">
        <v>2</v>
      </c>
      <c r="D31" t="n">
        <v>2</v>
      </c>
      <c r="E31" t="inlineStr">
        <is>
          <t>E. coli</t>
        </is>
      </c>
      <c r="F31" t="n">
        <v>36.9</v>
      </c>
      <c r="G31" t="n">
        <v>20.2</v>
      </c>
      <c r="H31" t="n">
        <v>8.1</v>
      </c>
      <c r="I31" t="n">
        <v>2</v>
      </c>
      <c r="J31" t="n">
        <v>1</v>
      </c>
      <c r="K31" t="n">
        <v>2</v>
      </c>
      <c r="L31" t="n">
        <v>1</v>
      </c>
      <c r="M31">
        <f>VLOOKUP("sex"&amp;"|"&amp;C31,labkey,2,FALSE)</f>
        <v/>
      </c>
      <c r="N31">
        <f>VLOOKUP("ward"&amp;"|"&amp;D31,labkey,2,FALSE)</f>
        <v/>
      </c>
      <c r="O31">
        <f>VLOOKUP("severity"&amp;"|"&amp;J31,labkey,2,FALSE)</f>
        <v/>
      </c>
      <c r="P31">
        <f>VLOOKUP("cipro_res"&amp;"|"&amp;L31,labkey,2,FALSE)</f>
        <v/>
      </c>
    </row>
  </sheetData>
  <dataValidations count="1">
    <dataValidation sqref="D2:D31" showDropDown="0" showInputMessage="0" showErrorMessage="1" allowBlank="0" errorTitle="Invalid code" error="ward must be 1, 2 or 3" type="list">
      <formula1>"1,2,3"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id</t>
        </is>
      </c>
      <c r="B1" s="3" t="inlineStr">
        <is>
          <t>crp_d0</t>
        </is>
      </c>
      <c r="C1" s="3" t="inlineStr">
        <is>
          <t>crp_d3</t>
        </is>
      </c>
      <c r="D1" s="3" t="inlineStr">
        <is>
          <t>crp_d7</t>
        </is>
      </c>
    </row>
    <row r="2">
      <c r="A2" t="n">
        <v>1</v>
      </c>
      <c r="B2" t="n">
        <v>94.8</v>
      </c>
      <c r="C2" t="n">
        <v>46.2</v>
      </c>
      <c r="D2" t="n">
        <v>12.1</v>
      </c>
    </row>
    <row r="3">
      <c r="A3" t="n">
        <v>2</v>
      </c>
      <c r="B3" t="n">
        <v>98.59999999999999</v>
      </c>
      <c r="C3" t="n">
        <v>45.2</v>
      </c>
      <c r="D3" t="n">
        <v>18</v>
      </c>
    </row>
    <row r="4">
      <c r="A4" t="n">
        <v>3</v>
      </c>
      <c r="B4" t="n">
        <v>95.7</v>
      </c>
      <c r="C4" t="n">
        <v>60</v>
      </c>
      <c r="D4" t="n">
        <v>18</v>
      </c>
    </row>
    <row r="5">
      <c r="A5" t="n">
        <v>4</v>
      </c>
      <c r="B5" t="n">
        <v>100</v>
      </c>
      <c r="C5" t="n">
        <v>46.6</v>
      </c>
      <c r="D5" t="n">
        <v>11.1</v>
      </c>
    </row>
    <row r="6">
      <c r="A6" t="n">
        <v>5</v>
      </c>
      <c r="B6" t="n">
        <v>71.2</v>
      </c>
      <c r="C6" t="n">
        <v>41.5</v>
      </c>
      <c r="D6" t="n">
        <v>19.4</v>
      </c>
    </row>
    <row r="7">
      <c r="A7" t="n">
        <v>6</v>
      </c>
      <c r="B7" t="n">
        <v>114.1</v>
      </c>
      <c r="C7" t="n">
        <v>66.2</v>
      </c>
      <c r="D7" t="n">
        <v>27.8</v>
      </c>
    </row>
    <row r="8">
      <c r="A8" t="n">
        <v>7</v>
      </c>
      <c r="B8" t="n">
        <v>104.6</v>
      </c>
      <c r="C8" t="n">
        <v>72.09999999999999</v>
      </c>
      <c r="D8" t="n">
        <v>19.2</v>
      </c>
    </row>
    <row r="9">
      <c r="A9" t="n">
        <v>8</v>
      </c>
      <c r="B9" t="n">
        <v>71</v>
      </c>
      <c r="C9" t="n">
        <v>30.3</v>
      </c>
      <c r="D9" t="n">
        <v>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variable</t>
        </is>
      </c>
      <c r="B1" s="3" t="inlineStr">
        <is>
          <t>code</t>
        </is>
      </c>
      <c r="C1" s="3" t="inlineStr">
        <is>
          <t>label</t>
        </is>
      </c>
      <c r="D1" t="inlineStr">
        <is>
          <t>key</t>
        </is>
      </c>
      <c r="E1" t="inlineStr">
        <is>
          <t>label</t>
        </is>
      </c>
    </row>
    <row r="2">
      <c r="A2" t="inlineStr">
        <is>
          <t>sex</t>
        </is>
      </c>
      <c r="B2" t="n">
        <v>1</v>
      </c>
      <c r="C2" t="inlineStr">
        <is>
          <t>Female</t>
        </is>
      </c>
      <c r="D2">
        <f>A2&amp;"|"&amp;B2</f>
        <v/>
      </c>
      <c r="E2">
        <f>C2</f>
        <v/>
      </c>
    </row>
    <row r="3">
      <c r="A3" t="inlineStr">
        <is>
          <t>sex</t>
        </is>
      </c>
      <c r="B3" t="n">
        <v>2</v>
      </c>
      <c r="C3" t="inlineStr">
        <is>
          <t>Male</t>
        </is>
      </c>
      <c r="D3">
        <f>A3&amp;"|"&amp;B3</f>
        <v/>
      </c>
      <c r="E3">
        <f>C3</f>
        <v/>
      </c>
    </row>
    <row r="4">
      <c r="A4" t="inlineStr">
        <is>
          <t>ward</t>
        </is>
      </c>
      <c r="B4" t="n">
        <v>1</v>
      </c>
      <c r="C4" t="inlineStr">
        <is>
          <t>Internal</t>
        </is>
      </c>
      <c r="D4">
        <f>A4&amp;"|"&amp;B4</f>
        <v/>
      </c>
      <c r="E4">
        <f>C4</f>
        <v/>
      </c>
    </row>
    <row r="5">
      <c r="A5" t="inlineStr">
        <is>
          <t>ward</t>
        </is>
      </c>
      <c r="B5" t="n">
        <v>2</v>
      </c>
      <c r="C5" t="inlineStr">
        <is>
          <t>Surgery</t>
        </is>
      </c>
      <c r="D5">
        <f>A5&amp;"|"&amp;B5</f>
        <v/>
      </c>
      <c r="E5">
        <f>C5</f>
        <v/>
      </c>
    </row>
    <row r="6">
      <c r="A6" t="inlineStr">
        <is>
          <t>ward</t>
        </is>
      </c>
      <c r="B6" t="n">
        <v>3</v>
      </c>
      <c r="C6" t="inlineStr">
        <is>
          <t>ICU</t>
        </is>
      </c>
      <c r="D6">
        <f>A6&amp;"|"&amp;B6</f>
        <v/>
      </c>
      <c r="E6">
        <f>C6</f>
        <v/>
      </c>
    </row>
    <row r="7">
      <c r="A7" t="inlineStr">
        <is>
          <t>severity</t>
        </is>
      </c>
      <c r="B7" t="n">
        <v>1</v>
      </c>
      <c r="C7" t="inlineStr">
        <is>
          <t>Mild</t>
        </is>
      </c>
      <c r="D7">
        <f>A7&amp;"|"&amp;B7</f>
        <v/>
      </c>
      <c r="E7">
        <f>C7</f>
        <v/>
      </c>
    </row>
    <row r="8">
      <c r="A8" t="inlineStr">
        <is>
          <t>severity</t>
        </is>
      </c>
      <c r="B8" t="n">
        <v>2</v>
      </c>
      <c r="C8" t="inlineStr">
        <is>
          <t>Moderate</t>
        </is>
      </c>
      <c r="D8">
        <f>A8&amp;"|"&amp;B8</f>
        <v/>
      </c>
      <c r="E8">
        <f>C8</f>
        <v/>
      </c>
    </row>
    <row r="9">
      <c r="A9" t="inlineStr">
        <is>
          <t>severity</t>
        </is>
      </c>
      <c r="B9" t="n">
        <v>3</v>
      </c>
      <c r="C9" t="inlineStr">
        <is>
          <t>Severe</t>
        </is>
      </c>
      <c r="D9">
        <f>A9&amp;"|"&amp;B9</f>
        <v/>
      </c>
      <c r="E9">
        <f>C9</f>
        <v/>
      </c>
    </row>
    <row r="10">
      <c r="A10" t="inlineStr">
        <is>
          <t>cipro_res</t>
        </is>
      </c>
      <c r="B10" t="n">
        <v>0</v>
      </c>
      <c r="C10" t="inlineStr">
        <is>
          <t>Susceptible</t>
        </is>
      </c>
      <c r="D10">
        <f>A10&amp;"|"&amp;B10</f>
        <v/>
      </c>
      <c r="E10">
        <f>C10</f>
        <v/>
      </c>
    </row>
    <row r="11">
      <c r="A11" t="inlineStr">
        <is>
          <t>cipro_res</t>
        </is>
      </c>
      <c r="B11" t="n">
        <v>1</v>
      </c>
      <c r="C11" t="inlineStr">
        <is>
          <t>Resistant</t>
        </is>
      </c>
      <c r="D11">
        <f>A11&amp;"|"&amp;B11</f>
        <v/>
      </c>
      <c r="E11">
        <f>C11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variable</t>
        </is>
      </c>
      <c r="B1" s="3" t="inlineStr">
        <is>
          <t>description</t>
        </is>
      </c>
      <c r="C1" s="3" t="inlineStr">
        <is>
          <t>unit</t>
        </is>
      </c>
      <c r="D1" s="3" t="inlineStr">
        <is>
          <t>codes</t>
        </is>
      </c>
      <c r="E1" s="3" t="inlineStr">
        <is>
          <t>measure</t>
        </is>
      </c>
      <c r="F1" s="3" t="inlineStr">
        <is>
          <t>missing code</t>
        </is>
      </c>
    </row>
    <row r="2">
      <c r="A2" t="inlineStr">
        <is>
          <t>id</t>
        </is>
      </c>
      <c r="B2" t="inlineStr">
        <is>
          <t>Patient ID</t>
        </is>
      </c>
      <c r="C2" t="inlineStr"/>
      <c r="D2" t="inlineStr"/>
      <c r="E2" t="inlineStr">
        <is>
          <t>(identifier)</t>
        </is>
      </c>
      <c r="F2" t="inlineStr"/>
    </row>
    <row r="3">
      <c r="A3" t="inlineStr">
        <is>
          <t>age</t>
        </is>
      </c>
      <c r="B3" t="inlineStr">
        <is>
          <t>Age</t>
        </is>
      </c>
      <c r="C3" t="inlineStr">
        <is>
          <t>years</t>
        </is>
      </c>
      <c r="D3" t="inlineStr"/>
      <c r="E3" t="inlineStr">
        <is>
          <t>Scale (ratio)</t>
        </is>
      </c>
      <c r="F3" t="inlineStr"/>
    </row>
    <row r="4">
      <c r="A4" t="inlineStr">
        <is>
          <t>sex</t>
        </is>
      </c>
      <c r="B4" t="inlineStr">
        <is>
          <t>Sex</t>
        </is>
      </c>
      <c r="C4" t="inlineStr"/>
      <c r="D4" t="inlineStr">
        <is>
          <t>1=Female, 2=Male</t>
        </is>
      </c>
      <c r="E4" t="inlineStr">
        <is>
          <t>Nominal</t>
        </is>
      </c>
      <c r="F4" t="inlineStr"/>
    </row>
    <row r="5">
      <c r="A5" t="inlineStr">
        <is>
          <t>ward</t>
        </is>
      </c>
      <c r="B5" t="inlineStr">
        <is>
          <t>Hospital ward</t>
        </is>
      </c>
      <c r="C5" t="inlineStr"/>
      <c r="D5" t="inlineStr">
        <is>
          <t>1=Internal, 2=Surgery, 3=ICU</t>
        </is>
      </c>
      <c r="E5" t="inlineStr">
        <is>
          <t>Nominal</t>
        </is>
      </c>
      <c r="F5" t="inlineStr"/>
    </row>
    <row r="6">
      <c r="A6" t="inlineStr">
        <is>
          <t>organism</t>
        </is>
      </c>
      <c r="B6" t="inlineStr">
        <is>
          <t>Isolated organism</t>
        </is>
      </c>
      <c r="C6" t="inlineStr"/>
      <c r="D6" t="inlineStr">
        <is>
          <t>text</t>
        </is>
      </c>
      <c r="E6" t="inlineStr">
        <is>
          <t>Nominal</t>
        </is>
      </c>
      <c r="F6" t="inlineStr"/>
    </row>
    <row r="7">
      <c r="A7" t="inlineStr">
        <is>
          <t>temp</t>
        </is>
      </c>
      <c r="B7" t="inlineStr">
        <is>
          <t>Body temperature</t>
        </is>
      </c>
      <c r="C7" t="inlineStr">
        <is>
          <t>°C</t>
        </is>
      </c>
      <c r="D7" t="inlineStr"/>
      <c r="E7" t="inlineStr">
        <is>
          <t>Scale (interval)</t>
        </is>
      </c>
      <c r="F7" t="inlineStr"/>
    </row>
    <row r="8">
      <c r="A8" t="inlineStr">
        <is>
          <t>crp</t>
        </is>
      </c>
      <c r="B8" t="inlineStr">
        <is>
          <t>C-reactive protein</t>
        </is>
      </c>
      <c r="C8" t="inlineStr">
        <is>
          <t>mg/L</t>
        </is>
      </c>
      <c r="D8" t="inlineStr"/>
      <c r="E8" t="inlineStr">
        <is>
          <t>Scale (ratio)</t>
        </is>
      </c>
      <c r="F8" t="inlineStr">
        <is>
          <t>-99 = not measured</t>
        </is>
      </c>
    </row>
    <row r="9">
      <c r="A9" t="inlineStr">
        <is>
          <t>wbc</t>
        </is>
      </c>
      <c r="B9" t="inlineStr">
        <is>
          <t>White blood cells</t>
        </is>
      </c>
      <c r="C9" t="inlineStr">
        <is>
          <t>x10^9/L</t>
        </is>
      </c>
      <c r="D9" t="inlineStr"/>
      <c r="E9" t="inlineStr">
        <is>
          <t>Scale (ratio)</t>
        </is>
      </c>
      <c r="F9" t="inlineStr">
        <is>
          <t>blank</t>
        </is>
      </c>
    </row>
    <row r="10">
      <c r="A10" t="inlineStr">
        <is>
          <t>pain</t>
        </is>
      </c>
      <c r="B10" t="inlineStr">
        <is>
          <t>Pain score</t>
        </is>
      </c>
      <c r="C10" t="inlineStr">
        <is>
          <t>0-10</t>
        </is>
      </c>
      <c r="D10" t="inlineStr"/>
      <c r="E10" t="inlineStr">
        <is>
          <t>Ordinal</t>
        </is>
      </c>
      <c r="F10" t="inlineStr"/>
    </row>
    <row r="11">
      <c r="A11" t="inlineStr">
        <is>
          <t>severity</t>
        </is>
      </c>
      <c r="B11" t="inlineStr">
        <is>
          <t>Clinical severity</t>
        </is>
      </c>
      <c r="C11" t="inlineStr"/>
      <c r="D11" t="inlineStr">
        <is>
          <t>1=Mild, 2=Moderate, 3=Severe</t>
        </is>
      </c>
      <c r="E11" t="inlineStr">
        <is>
          <t>Ordinal</t>
        </is>
      </c>
      <c r="F11" t="inlineStr"/>
    </row>
    <row r="12">
      <c r="A12" t="inlineStr">
        <is>
          <t>los</t>
        </is>
      </c>
      <c r="B12" t="inlineStr">
        <is>
          <t>Length of stay</t>
        </is>
      </c>
      <c r="C12" t="inlineStr">
        <is>
          <t>days</t>
        </is>
      </c>
      <c r="D12" t="inlineStr"/>
      <c r="E12" t="inlineStr">
        <is>
          <t>Scale (ratio, count)</t>
        </is>
      </c>
      <c r="F12" t="inlineStr"/>
    </row>
    <row r="13">
      <c r="A13" t="inlineStr">
        <is>
          <t>cipro_res</t>
        </is>
      </c>
      <c r="B13" t="inlineStr">
        <is>
          <t>Ciprofloxacin resistance</t>
        </is>
      </c>
      <c r="C13" t="inlineStr"/>
      <c r="D13" t="inlineStr">
        <is>
          <t>0=Susceptible, 1=Resistant</t>
        </is>
      </c>
      <c r="E13" t="inlineStr">
        <is>
          <t>Nominal</t>
        </is>
      </c>
      <c r="F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day</t>
        </is>
      </c>
      <c r="C1" s="1" t="inlineStr">
        <is>
          <t>crp</t>
        </is>
      </c>
    </row>
    <row r="2">
      <c r="A2">
        <f>INDEX(crp_wide!$A$2:$A$9,INT((ROW()-2)/3)+1)</f>
        <v/>
      </c>
      <c r="B2">
        <f>CHOOSE(MOD(ROW()-2,3)+1,0,3,7)</f>
        <v/>
      </c>
      <c r="C2">
        <f>INDEX(crp_wide!$B$2:$D$9,INT((ROW()-2)/3)+1,MOD(ROW()-2,3)+1)</f>
        <v/>
      </c>
    </row>
    <row r="3">
      <c r="A3">
        <f>INDEX(crp_wide!$A$2:$A$9,INT((ROW()-2)/3)+1)</f>
        <v/>
      </c>
      <c r="B3">
        <f>CHOOSE(MOD(ROW()-2,3)+1,0,3,7)</f>
        <v/>
      </c>
      <c r="C3">
        <f>INDEX(crp_wide!$B$2:$D$9,INT((ROW()-2)/3)+1,MOD(ROW()-2,3)+1)</f>
        <v/>
      </c>
    </row>
    <row r="4">
      <c r="A4">
        <f>INDEX(crp_wide!$A$2:$A$9,INT((ROW()-2)/3)+1)</f>
        <v/>
      </c>
      <c r="B4">
        <f>CHOOSE(MOD(ROW()-2,3)+1,0,3,7)</f>
        <v/>
      </c>
      <c r="C4">
        <f>INDEX(crp_wide!$B$2:$D$9,INT((ROW()-2)/3)+1,MOD(ROW()-2,3)+1)</f>
        <v/>
      </c>
    </row>
    <row r="5">
      <c r="A5">
        <f>INDEX(crp_wide!$A$2:$A$9,INT((ROW()-2)/3)+1)</f>
        <v/>
      </c>
      <c r="B5">
        <f>CHOOSE(MOD(ROW()-2,3)+1,0,3,7)</f>
        <v/>
      </c>
      <c r="C5">
        <f>INDEX(crp_wide!$B$2:$D$9,INT((ROW()-2)/3)+1,MOD(ROW()-2,3)+1)</f>
        <v/>
      </c>
    </row>
    <row r="6">
      <c r="A6">
        <f>INDEX(crp_wide!$A$2:$A$9,INT((ROW()-2)/3)+1)</f>
        <v/>
      </c>
      <c r="B6">
        <f>CHOOSE(MOD(ROW()-2,3)+1,0,3,7)</f>
        <v/>
      </c>
      <c r="C6">
        <f>INDEX(crp_wide!$B$2:$D$9,INT((ROW()-2)/3)+1,MOD(ROW()-2,3)+1)</f>
        <v/>
      </c>
    </row>
    <row r="7">
      <c r="A7">
        <f>INDEX(crp_wide!$A$2:$A$9,INT((ROW()-2)/3)+1)</f>
        <v/>
      </c>
      <c r="B7">
        <f>CHOOSE(MOD(ROW()-2,3)+1,0,3,7)</f>
        <v/>
      </c>
      <c r="C7">
        <f>INDEX(crp_wide!$B$2:$D$9,INT((ROW()-2)/3)+1,MOD(ROW()-2,3)+1)</f>
        <v/>
      </c>
    </row>
    <row r="8">
      <c r="A8">
        <f>INDEX(crp_wide!$A$2:$A$9,INT((ROW()-2)/3)+1)</f>
        <v/>
      </c>
      <c r="B8">
        <f>CHOOSE(MOD(ROW()-2,3)+1,0,3,7)</f>
        <v/>
      </c>
      <c r="C8">
        <f>INDEX(crp_wide!$B$2:$D$9,INT((ROW()-2)/3)+1,MOD(ROW()-2,3)+1)</f>
        <v/>
      </c>
    </row>
    <row r="9">
      <c r="A9">
        <f>INDEX(crp_wide!$A$2:$A$9,INT((ROW()-2)/3)+1)</f>
        <v/>
      </c>
      <c r="B9">
        <f>CHOOSE(MOD(ROW()-2,3)+1,0,3,7)</f>
        <v/>
      </c>
      <c r="C9">
        <f>INDEX(crp_wide!$B$2:$D$9,INT((ROW()-2)/3)+1,MOD(ROW()-2,3)+1)</f>
        <v/>
      </c>
    </row>
    <row r="10">
      <c r="A10">
        <f>INDEX(crp_wide!$A$2:$A$9,INT((ROW()-2)/3)+1)</f>
        <v/>
      </c>
      <c r="B10">
        <f>CHOOSE(MOD(ROW()-2,3)+1,0,3,7)</f>
        <v/>
      </c>
      <c r="C10">
        <f>INDEX(crp_wide!$B$2:$D$9,INT((ROW()-2)/3)+1,MOD(ROW()-2,3)+1)</f>
        <v/>
      </c>
    </row>
    <row r="11">
      <c r="A11">
        <f>INDEX(crp_wide!$A$2:$A$9,INT((ROW()-2)/3)+1)</f>
        <v/>
      </c>
      <c r="B11">
        <f>CHOOSE(MOD(ROW()-2,3)+1,0,3,7)</f>
        <v/>
      </c>
      <c r="C11">
        <f>INDEX(crp_wide!$B$2:$D$9,INT((ROW()-2)/3)+1,MOD(ROW()-2,3)+1)</f>
        <v/>
      </c>
    </row>
    <row r="12">
      <c r="A12">
        <f>INDEX(crp_wide!$A$2:$A$9,INT((ROW()-2)/3)+1)</f>
        <v/>
      </c>
      <c r="B12">
        <f>CHOOSE(MOD(ROW()-2,3)+1,0,3,7)</f>
        <v/>
      </c>
      <c r="C12">
        <f>INDEX(crp_wide!$B$2:$D$9,INT((ROW()-2)/3)+1,MOD(ROW()-2,3)+1)</f>
        <v/>
      </c>
    </row>
    <row r="13">
      <c r="A13">
        <f>INDEX(crp_wide!$A$2:$A$9,INT((ROW()-2)/3)+1)</f>
        <v/>
      </c>
      <c r="B13">
        <f>CHOOSE(MOD(ROW()-2,3)+1,0,3,7)</f>
        <v/>
      </c>
      <c r="C13">
        <f>INDEX(crp_wide!$B$2:$D$9,INT((ROW()-2)/3)+1,MOD(ROW()-2,3)+1)</f>
        <v/>
      </c>
    </row>
    <row r="14">
      <c r="A14">
        <f>INDEX(crp_wide!$A$2:$A$9,INT((ROW()-2)/3)+1)</f>
        <v/>
      </c>
      <c r="B14">
        <f>CHOOSE(MOD(ROW()-2,3)+1,0,3,7)</f>
        <v/>
      </c>
      <c r="C14">
        <f>INDEX(crp_wide!$B$2:$D$9,INT((ROW()-2)/3)+1,MOD(ROW()-2,3)+1)</f>
        <v/>
      </c>
    </row>
    <row r="15">
      <c r="A15">
        <f>INDEX(crp_wide!$A$2:$A$9,INT((ROW()-2)/3)+1)</f>
        <v/>
      </c>
      <c r="B15">
        <f>CHOOSE(MOD(ROW()-2,3)+1,0,3,7)</f>
        <v/>
      </c>
      <c r="C15">
        <f>INDEX(crp_wide!$B$2:$D$9,INT((ROW()-2)/3)+1,MOD(ROW()-2,3)+1)</f>
        <v/>
      </c>
    </row>
    <row r="16">
      <c r="A16">
        <f>INDEX(crp_wide!$A$2:$A$9,INT((ROW()-2)/3)+1)</f>
        <v/>
      </c>
      <c r="B16">
        <f>CHOOSE(MOD(ROW()-2,3)+1,0,3,7)</f>
        <v/>
      </c>
      <c r="C16">
        <f>INDEX(crp_wide!$B$2:$D$9,INT((ROW()-2)/3)+1,MOD(ROW()-2,3)+1)</f>
        <v/>
      </c>
    </row>
    <row r="17">
      <c r="A17">
        <f>INDEX(crp_wide!$A$2:$A$9,INT((ROW()-2)/3)+1)</f>
        <v/>
      </c>
      <c r="B17">
        <f>CHOOSE(MOD(ROW()-2,3)+1,0,3,7)</f>
        <v/>
      </c>
      <c r="C17">
        <f>INDEX(crp_wide!$B$2:$D$9,INT((ROW()-2)/3)+1,MOD(ROW()-2,3)+1)</f>
        <v/>
      </c>
    </row>
    <row r="18">
      <c r="A18">
        <f>INDEX(crp_wide!$A$2:$A$9,INT((ROW()-2)/3)+1)</f>
        <v/>
      </c>
      <c r="B18">
        <f>CHOOSE(MOD(ROW()-2,3)+1,0,3,7)</f>
        <v/>
      </c>
      <c r="C18">
        <f>INDEX(crp_wide!$B$2:$D$9,INT((ROW()-2)/3)+1,MOD(ROW()-2,3)+1)</f>
        <v/>
      </c>
    </row>
    <row r="19">
      <c r="A19">
        <f>INDEX(crp_wide!$A$2:$A$9,INT((ROW()-2)/3)+1)</f>
        <v/>
      </c>
      <c r="B19">
        <f>CHOOSE(MOD(ROW()-2,3)+1,0,3,7)</f>
        <v/>
      </c>
      <c r="C19">
        <f>INDEX(crp_wide!$B$2:$D$9,INT((ROW()-2)/3)+1,MOD(ROW()-2,3)+1)</f>
        <v/>
      </c>
    </row>
    <row r="20">
      <c r="A20">
        <f>INDEX(crp_wide!$A$2:$A$9,INT((ROW()-2)/3)+1)</f>
        <v/>
      </c>
      <c r="B20">
        <f>CHOOSE(MOD(ROW()-2,3)+1,0,3,7)</f>
        <v/>
      </c>
      <c r="C20">
        <f>INDEX(crp_wide!$B$2:$D$9,INT((ROW()-2)/3)+1,MOD(ROW()-2,3)+1)</f>
        <v/>
      </c>
    </row>
    <row r="21">
      <c r="A21">
        <f>INDEX(crp_wide!$A$2:$A$9,INT((ROW()-2)/3)+1)</f>
        <v/>
      </c>
      <c r="B21">
        <f>CHOOSE(MOD(ROW()-2,3)+1,0,3,7)</f>
        <v/>
      </c>
      <c r="C21">
        <f>INDEX(crp_wide!$B$2:$D$9,INT((ROW()-2)/3)+1,MOD(ROW()-2,3)+1)</f>
        <v/>
      </c>
    </row>
    <row r="22">
      <c r="A22">
        <f>INDEX(crp_wide!$A$2:$A$9,INT((ROW()-2)/3)+1)</f>
        <v/>
      </c>
      <c r="B22">
        <f>CHOOSE(MOD(ROW()-2,3)+1,0,3,7)</f>
        <v/>
      </c>
      <c r="C22">
        <f>INDEX(crp_wide!$B$2:$D$9,INT((ROW()-2)/3)+1,MOD(ROW()-2,3)+1)</f>
        <v/>
      </c>
    </row>
    <row r="23">
      <c r="A23">
        <f>INDEX(crp_wide!$A$2:$A$9,INT((ROW()-2)/3)+1)</f>
        <v/>
      </c>
      <c r="B23">
        <f>CHOOSE(MOD(ROW()-2,3)+1,0,3,7)</f>
        <v/>
      </c>
      <c r="C23">
        <f>INDEX(crp_wide!$B$2:$D$9,INT((ROW()-2)/3)+1,MOD(ROW()-2,3)+1)</f>
        <v/>
      </c>
    </row>
    <row r="24">
      <c r="A24">
        <f>INDEX(crp_wide!$A$2:$A$9,INT((ROW()-2)/3)+1)</f>
        <v/>
      </c>
      <c r="B24">
        <f>CHOOSE(MOD(ROW()-2,3)+1,0,3,7)</f>
        <v/>
      </c>
      <c r="C24">
        <f>INDEX(crp_wide!$B$2:$D$9,INT((ROW()-2)/3)+1,MOD(ROW()-2,3)+1)</f>
        <v/>
      </c>
    </row>
    <row r="25">
      <c r="A25">
        <f>INDEX(crp_wide!$A$2:$A$9,INT((ROW()-2)/3)+1)</f>
        <v/>
      </c>
      <c r="B25">
        <f>CHOOSE(MOD(ROW()-2,3)+1,0,3,7)</f>
        <v/>
      </c>
      <c r="C25">
        <f>INDEX(crp_wide!$B$2:$D$9,INT((ROW()-2)/3)+1,MOD(ROW()-2,3)+1)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2026-10-26T18:11:22Z</dcterms:created>
  <dcterms:modified xmlns:dcterms="http://purl.org/dc/terms/" xmlns:xsi="http://www.w3.org/2001/XMLSchema-instance" xsi:type="dcterms:W3CDTF">2026-10-26T18:11:22Z</dcterms:modified>
</cp:coreProperties>
</file>