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clinic" sheetId="2" state="visible" r:id="rId2"/>
    <sheet xmlns:r="http://schemas.openxmlformats.org/officeDocument/2006/relationships" name="genes" sheetId="3" state="visible" r:id="rId3"/>
    <sheet xmlns:r="http://schemas.openxmlformats.org/officeDocument/2006/relationships" name="p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2" max="2"/>
    <col width="60" customWidth="1" min="3" max="3"/>
  </cols>
  <sheetData>
    <row r="1">
      <c r="A1" t="inlineStr">
        <is>
          <t>تمرین</t>
        </is>
      </c>
      <c r="B1" t="inlineStr">
        <is>
          <t>پرسش</t>
        </is>
      </c>
      <c r="C1" t="inlineStr">
        <is>
          <t>فرمول</t>
        </is>
      </c>
      <c r="D1" t="inlineStr">
        <is>
          <t>جواب</t>
        </is>
      </c>
      <c r="E1" t="inlineStr">
        <is>
          <t>جواب مورد انتظار</t>
        </is>
      </c>
    </row>
    <row r="2">
      <c r="A2" t="inlineStr">
        <is>
          <t>ع۱</t>
        </is>
      </c>
      <c r="B2" t="inlineStr">
        <is>
          <t>میانگین BMI</t>
        </is>
      </c>
      <c r="C2" t="inlineStr">
        <is>
          <t>AVERAGE(clinic!J2:J25)</t>
        </is>
      </c>
      <c r="D2" s="1">
        <f>AVERAGE(clinic!J2:J25)</f>
        <v/>
      </c>
      <c r="E2" t="n">
        <v>29.44</v>
      </c>
    </row>
    <row r="3">
      <c r="A3" t="inlineStr">
        <is>
          <t>ع۱</t>
        </is>
      </c>
      <c r="B3" t="inlineStr">
        <is>
          <t>تعداد BMI≥30</t>
        </is>
      </c>
      <c r="C3" t="inlineStr">
        <is>
          <t>COUNTIF(clinic!J2:J25,"&gt;=30")</t>
        </is>
      </c>
      <c r="D3" s="1">
        <f>COUNTIF(clinic!J2:J25,"&gt;=30")</f>
        <v/>
      </c>
      <c r="E3" t="n">
        <v>10</v>
      </c>
    </row>
    <row r="4">
      <c r="A4" t="inlineStr">
        <is>
          <t>ع۲</t>
        </is>
      </c>
      <c r="B4" t="inlineStr">
        <is>
          <t>میانگین تغییر فشار</t>
        </is>
      </c>
      <c r="C4" t="inlineStr">
        <is>
          <t>AVERAGE(clinic!K2:K25)</t>
        </is>
      </c>
      <c r="D4" s="1">
        <f>AVERAGE(clinic!K2:K25)</f>
        <v/>
      </c>
      <c r="E4" t="n">
        <v>-14.96</v>
      </c>
    </row>
    <row r="5">
      <c r="A5" t="inlineStr">
        <is>
          <t>ع۲</t>
        </is>
      </c>
      <c r="B5" t="inlineStr">
        <is>
          <t>میانگین درصد تغییر</t>
        </is>
      </c>
      <c r="C5" t="inlineStr">
        <is>
          <t>AVERAGE(clinic!L2:L25)</t>
        </is>
      </c>
      <c r="D5" s="1">
        <f>AVERAGE(clinic!L2:L25)</f>
        <v/>
      </c>
      <c r="E5" t="n">
        <v>-10.01</v>
      </c>
    </row>
    <row r="6">
      <c r="A6" t="inlineStr">
        <is>
          <t>ع۲</t>
        </is>
      </c>
      <c r="B6" t="inlineStr">
        <is>
          <t>تعداد کاهش ≥10</t>
        </is>
      </c>
      <c r="C6" t="inlineStr">
        <is>
          <t>COUNTIF(clinic!K2:K25,"&lt;=-10")</t>
        </is>
      </c>
      <c r="D6" s="1">
        <f>COUNTIF(clinic!K2:K25,"&lt;=-10")</f>
        <v/>
      </c>
      <c r="E6" t="n">
        <v>17</v>
      </c>
    </row>
    <row r="7">
      <c r="A7" t="inlineStr">
        <is>
          <t>ع۳</t>
        </is>
      </c>
      <c r="B7" t="inlineStr">
        <is>
          <t>میانگین قند mg/dL</t>
        </is>
      </c>
      <c r="C7" t="inlineStr">
        <is>
          <t>AVERAGE(clinic!H2:H25)</t>
        </is>
      </c>
      <c r="D7" s="1">
        <f>AVERAGE(clinic!H2:H25)</f>
        <v/>
      </c>
      <c r="E7" t="n">
        <v>151.42</v>
      </c>
    </row>
    <row r="8">
      <c r="A8" t="inlineStr">
        <is>
          <t>ع۳</t>
        </is>
      </c>
      <c r="B8" t="inlineStr">
        <is>
          <t>میانگین قند mmol/L</t>
        </is>
      </c>
      <c r="C8" t="inlineStr">
        <is>
          <t>AVERAGE(clinic!M2:M25)</t>
        </is>
      </c>
      <c r="D8" s="1">
        <f>AVERAGE(clinic!M2:M25)</f>
        <v/>
      </c>
      <c r="E8" t="n">
        <v>8.41</v>
      </c>
    </row>
    <row r="9">
      <c r="A9" t="inlineStr">
        <is>
          <t>ع۴</t>
        </is>
      </c>
      <c r="B9" t="inlineStr">
        <is>
          <t>میانگین حسابی TG</t>
        </is>
      </c>
      <c r="C9" t="inlineStr">
        <is>
          <t>AVERAGE(clinic!I2:I25)</t>
        </is>
      </c>
      <c r="D9" s="1">
        <f>AVERAGE(clinic!I2:I25)</f>
        <v/>
      </c>
      <c r="E9" t="n">
        <v>207.71</v>
      </c>
    </row>
    <row r="10">
      <c r="A10" t="inlineStr">
        <is>
          <t>ع۴</t>
        </is>
      </c>
      <c r="B10" t="inlineStr">
        <is>
          <t>میانه TG</t>
        </is>
      </c>
      <c r="C10" t="inlineStr">
        <is>
          <t>MEDIAN(clinic!I2:I25)</t>
        </is>
      </c>
      <c r="D10" s="1">
        <f>MEDIAN(clinic!I2:I25)</f>
        <v/>
      </c>
      <c r="E10" t="n">
        <v>208.5</v>
      </c>
    </row>
    <row r="11">
      <c r="A11" t="inlineStr">
        <is>
          <t>ع۴</t>
        </is>
      </c>
      <c r="B11" t="inlineStr">
        <is>
          <t>میانگین log10 TG</t>
        </is>
      </c>
      <c r="C11" t="inlineStr">
        <is>
          <t>AVERAGE(clinic!N2:N25)</t>
        </is>
      </c>
      <c r="D11" s="1">
        <f>AVERAGE(clinic!N2:N25)</f>
        <v/>
      </c>
      <c r="E11" t="n">
        <v>2.2717</v>
      </c>
    </row>
    <row r="12">
      <c r="A12" t="inlineStr">
        <is>
          <t>ع۴</t>
        </is>
      </c>
      <c r="B12" t="inlineStr">
        <is>
          <t>میانگین هندسی (با لگاریتم)</t>
        </is>
      </c>
      <c r="C12" t="inlineStr">
        <is>
          <t>10^AVERAGE(clinic!N2:N25)</t>
        </is>
      </c>
      <c r="D12" s="1">
        <f>10^AVERAGE(clinic!N2:N25)</f>
        <v/>
      </c>
      <c r="E12" t="n">
        <v>186.93</v>
      </c>
    </row>
    <row r="13">
      <c r="A13" t="inlineStr">
        <is>
          <t>ع۴</t>
        </is>
      </c>
      <c r="B13" t="inlineStr">
        <is>
          <t>میانگین هندسی (GEOMEAN)</t>
        </is>
      </c>
      <c r="C13" t="inlineStr">
        <is>
          <t>GEOMEAN(clinic!I2:I25)</t>
        </is>
      </c>
      <c r="D13" s="1">
        <f>GEOMEAN(clinic!I2:I25)</f>
        <v/>
      </c>
      <c r="E13" t="n">
        <v>186.93</v>
      </c>
    </row>
    <row r="14">
      <c r="A14" t="inlineStr">
        <is>
          <t>ع۵</t>
        </is>
      </c>
      <c r="B14" t="inlineStr">
        <is>
          <t>n</t>
        </is>
      </c>
      <c r="C14" t="inlineStr">
        <is>
          <t>COUNT(clinic!C2:C25)</t>
        </is>
      </c>
      <c r="D14" s="1">
        <f>COUNT(clinic!C2:C25)</f>
        <v/>
      </c>
      <c r="E14" t="n">
        <v>24</v>
      </c>
    </row>
    <row r="15">
      <c r="A15" t="inlineStr">
        <is>
          <t>ع۵</t>
        </is>
      </c>
      <c r="B15" t="inlineStr">
        <is>
          <t>Σx</t>
        </is>
      </c>
      <c r="C15" t="inlineStr">
        <is>
          <t>SUM(clinic!C2:C25)</t>
        </is>
      </c>
      <c r="D15" s="1">
        <f>SUM(clinic!C2:C25)</f>
        <v/>
      </c>
      <c r="E15" t="n">
        <v>1401</v>
      </c>
    </row>
    <row r="16">
      <c r="A16" t="inlineStr">
        <is>
          <t>ع۵</t>
        </is>
      </c>
      <c r="B16" t="inlineStr">
        <is>
          <t>x̄</t>
        </is>
      </c>
      <c r="C16" t="inlineStr">
        <is>
          <t>AVERAGE(clinic!C2:C25)</t>
        </is>
      </c>
      <c r="D16" s="1">
        <f>AVERAGE(clinic!C2:C25)</f>
        <v/>
      </c>
      <c r="E16" t="n">
        <v>58.375</v>
      </c>
    </row>
    <row r="17">
      <c r="A17" t="inlineStr">
        <is>
          <t>ع۵</t>
        </is>
      </c>
      <c r="B17" t="inlineStr">
        <is>
          <t>Σx² (ستون کمکی)</t>
        </is>
      </c>
      <c r="C17" t="inlineStr">
        <is>
          <t>SUM(clinic!O2:O25)</t>
        </is>
      </c>
      <c r="D17" s="1">
        <f>SUM(clinic!O2:O25)</f>
        <v/>
      </c>
      <c r="E17" t="n">
        <v>84759</v>
      </c>
    </row>
    <row r="18">
      <c r="A18" t="inlineStr">
        <is>
          <t>ع۵</t>
        </is>
      </c>
      <c r="B18" t="inlineStr">
        <is>
          <t>Σx² (SUMSQ)</t>
        </is>
      </c>
      <c r="C18" t="inlineStr">
        <is>
          <t>SUMSQ(clinic!C2:C25)</t>
        </is>
      </c>
      <c r="D18" s="1">
        <f>SUMSQ(clinic!C2:C25)</f>
        <v/>
      </c>
      <c r="E18" t="n">
        <v>84759</v>
      </c>
    </row>
    <row r="19">
      <c r="A19" t="inlineStr">
        <is>
          <t>ع۵</t>
        </is>
      </c>
      <c r="B19" t="inlineStr">
        <is>
          <t>SS (ستون کمکی)</t>
        </is>
      </c>
      <c r="C19" t="inlineStr">
        <is>
          <t>SUM(clinic!P2:P25)</t>
        </is>
      </c>
      <c r="D19" s="1">
        <f>SUM(clinic!P2:P25)</f>
        <v/>
      </c>
      <c r="E19" t="n">
        <v>2975.625</v>
      </c>
    </row>
    <row r="20">
      <c r="A20" t="inlineStr">
        <is>
          <t>ع۵</t>
        </is>
      </c>
      <c r="B20" t="inlineStr">
        <is>
          <t>SS (DEVSQ)</t>
        </is>
      </c>
      <c r="C20" t="inlineStr">
        <is>
          <t>DEVSQ(clinic!C2:C25)</t>
        </is>
      </c>
      <c r="D20" s="1">
        <f>DEVSQ(clinic!C2:C25)</f>
        <v/>
      </c>
      <c r="E20" t="n">
        <v>2975.625</v>
      </c>
    </row>
    <row r="21">
      <c r="A21" t="inlineStr">
        <is>
          <t>ع۶</t>
        </is>
      </c>
      <c r="B21" t="inlineStr">
        <is>
          <t>|log2FC|≥1</t>
        </is>
      </c>
      <c r="C21" t="inlineStr">
        <is>
          <t>COUNTIF(genes!E2:E13,"&gt;=1")+COUNTIF(genes!E2:E13,"&lt;=-1")</t>
        </is>
      </c>
      <c r="D21" s="1">
        <f>COUNTIF(genes!E2:E13,"&gt;=1")+COUNTIF(genes!E2:E13,"&lt;=-1")</f>
        <v/>
      </c>
      <c r="E21" t="n">
        <v>7</v>
      </c>
    </row>
    <row r="22">
      <c r="A22" t="inlineStr">
        <is>
          <t>ع۶</t>
        </is>
      </c>
      <c r="B22" t="inlineStr">
        <is>
          <t>افزایش</t>
        </is>
      </c>
      <c r="C22" t="inlineStr">
        <is>
          <t>COUNTIF(genes!E2:E13,"&gt;=1")</t>
        </is>
      </c>
      <c r="D22" s="1">
        <f>COUNTIF(genes!E2:E13,"&gt;=1")</f>
        <v/>
      </c>
      <c r="E22" t="n">
        <v>6</v>
      </c>
    </row>
    <row r="23">
      <c r="A23" t="inlineStr">
        <is>
          <t>ع۶</t>
        </is>
      </c>
      <c r="B23" t="inlineStr">
        <is>
          <t>کاهش</t>
        </is>
      </c>
      <c r="C23" t="inlineStr">
        <is>
          <t>COUNTIF(genes!E2:E13,"&lt;=-1")</t>
        </is>
      </c>
      <c r="D23" s="1">
        <f>COUNTIF(genes!E2:E13,"&lt;=-1")</f>
        <v/>
      </c>
      <c r="E23" t="n">
        <v>1</v>
      </c>
    </row>
    <row r="24">
      <c r="A24" t="inlineStr">
        <is>
          <t>ع۷</t>
        </is>
      </c>
      <c r="B24" t="inlineStr">
        <is>
          <t>اولین ساعت زیر 10</t>
        </is>
      </c>
      <c r="C24" t="inlineStr">
        <is>
          <t>INDEX(pk!A5:A17,MATCH(TRUE,INDEX(pk!B5:B17&lt;10,0),0))</t>
        </is>
      </c>
      <c r="D24" s="1">
        <f>INDEX(pk!A5:A17,MATCH(TRUE,INDEX(pk!B5:B17&lt;10,0),0))</f>
        <v/>
      </c>
      <c r="E24" t="n">
        <v>14</v>
      </c>
    </row>
    <row r="25">
      <c r="A25" t="inlineStr">
        <is>
          <t>ع۷</t>
        </is>
      </c>
      <c r="B25" t="inlineStr">
        <is>
          <t>زمان دقیق</t>
        </is>
      </c>
      <c r="C25" t="inlineStr">
        <is>
          <t>pk!B2*LOG(10,2)</t>
        </is>
      </c>
      <c r="D25" s="1">
        <f>pk!B2*LOG(10,2)</f>
        <v/>
      </c>
      <c r="E25" t="n">
        <v>13.29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id</t>
        </is>
      </c>
      <c r="B1" s="2" t="inlineStr">
        <is>
          <t>sex</t>
        </is>
      </c>
      <c r="C1" s="2" t="inlineStr">
        <is>
          <t>age</t>
        </is>
      </c>
      <c r="D1" s="2" t="inlineStr">
        <is>
          <t>weight_kg</t>
        </is>
      </c>
      <c r="E1" s="2" t="inlineStr">
        <is>
          <t>height_cm</t>
        </is>
      </c>
      <c r="F1" s="2" t="inlineStr">
        <is>
          <t>sbp_0</t>
        </is>
      </c>
      <c r="G1" s="2" t="inlineStr">
        <is>
          <t>sbp_12</t>
        </is>
      </c>
      <c r="H1" s="2" t="inlineStr">
        <is>
          <t>glucose_mgdl</t>
        </is>
      </c>
      <c r="I1" s="2" t="inlineStr">
        <is>
          <t>tg_mgdl</t>
        </is>
      </c>
      <c r="J1" s="3" t="inlineStr">
        <is>
          <t>bmi</t>
        </is>
      </c>
      <c r="K1" s="3" t="inlineStr">
        <is>
          <t>sbp_change</t>
        </is>
      </c>
      <c r="L1" s="3" t="inlineStr">
        <is>
          <t>sbp_pct</t>
        </is>
      </c>
      <c r="M1" s="3" t="inlineStr">
        <is>
          <t>glucose_mmol</t>
        </is>
      </c>
      <c r="N1" s="3" t="inlineStr">
        <is>
          <t>log10_tg</t>
        </is>
      </c>
      <c r="O1" s="3" t="inlineStr">
        <is>
          <t>age_sq</t>
        </is>
      </c>
      <c r="P1" s="3" t="inlineStr">
        <is>
          <t>age_dev_sq</t>
        </is>
      </c>
    </row>
    <row r="2">
      <c r="A2" t="n">
        <v>1</v>
      </c>
      <c r="B2" t="n">
        <v>2</v>
      </c>
      <c r="C2" t="n">
        <v>57</v>
      </c>
      <c r="D2" t="n">
        <v>72.3</v>
      </c>
      <c r="E2" t="n">
        <v>165</v>
      </c>
      <c r="F2" t="n">
        <v>152</v>
      </c>
      <c r="G2" t="n">
        <v>125</v>
      </c>
      <c r="H2" t="n">
        <v>135</v>
      </c>
      <c r="I2" t="n">
        <v>64</v>
      </c>
      <c r="J2">
        <f>D2/(E2/100)^2</f>
        <v/>
      </c>
      <c r="K2">
        <f>G2-F2</f>
        <v/>
      </c>
      <c r="L2">
        <f>K2/F2*100</f>
        <v/>
      </c>
      <c r="M2">
        <f>H2/18</f>
        <v/>
      </c>
      <c r="N2">
        <f>LOG10(I2)</f>
        <v/>
      </c>
      <c r="O2">
        <f>C2^2</f>
        <v/>
      </c>
      <c r="P2">
        <f>(C2-AVERAGE($C$2:$C$25))^2</f>
        <v/>
      </c>
    </row>
    <row r="3">
      <c r="A3" t="n">
        <v>2</v>
      </c>
      <c r="B3" t="n">
        <v>1</v>
      </c>
      <c r="C3" t="n">
        <v>42</v>
      </c>
      <c r="D3" t="n">
        <v>79.8</v>
      </c>
      <c r="E3" t="n">
        <v>164</v>
      </c>
      <c r="F3" t="n">
        <v>147</v>
      </c>
      <c r="G3" t="n">
        <v>133</v>
      </c>
      <c r="H3" t="n">
        <v>203</v>
      </c>
      <c r="I3" t="n">
        <v>154</v>
      </c>
      <c r="J3">
        <f>D3/(E3/100)^2</f>
        <v/>
      </c>
      <c r="K3">
        <f>G3-F3</f>
        <v/>
      </c>
      <c r="L3">
        <f>K3/F3*100</f>
        <v/>
      </c>
      <c r="M3">
        <f>H3/18</f>
        <v/>
      </c>
      <c r="N3">
        <f>LOG10(I3)</f>
        <v/>
      </c>
      <c r="O3">
        <f>C3^2</f>
        <v/>
      </c>
      <c r="P3">
        <f>(C3-AVERAGE($C$2:$C$25))^2</f>
        <v/>
      </c>
    </row>
    <row r="4">
      <c r="A4" t="n">
        <v>3</v>
      </c>
      <c r="B4" t="n">
        <v>1</v>
      </c>
      <c r="C4" t="n">
        <v>40</v>
      </c>
      <c r="D4" t="n">
        <v>68.2</v>
      </c>
      <c r="E4" t="n">
        <v>151</v>
      </c>
      <c r="F4" t="n">
        <v>130</v>
      </c>
      <c r="G4" t="n">
        <v>107</v>
      </c>
      <c r="H4" t="n">
        <v>186</v>
      </c>
      <c r="I4" t="n">
        <v>189</v>
      </c>
      <c r="J4">
        <f>D4/(E4/100)^2</f>
        <v/>
      </c>
      <c r="K4">
        <f>G4-F4</f>
        <v/>
      </c>
      <c r="L4">
        <f>K4/F4*100</f>
        <v/>
      </c>
      <c r="M4">
        <f>H4/18</f>
        <v/>
      </c>
      <c r="N4">
        <f>LOG10(I4)</f>
        <v/>
      </c>
      <c r="O4">
        <f>C4^2</f>
        <v/>
      </c>
      <c r="P4">
        <f>(C4-AVERAGE($C$2:$C$25))^2</f>
        <v/>
      </c>
    </row>
    <row r="5">
      <c r="A5" t="n">
        <v>4</v>
      </c>
      <c r="B5" t="n">
        <v>1</v>
      </c>
      <c r="C5" t="n">
        <v>70</v>
      </c>
      <c r="D5" t="n">
        <v>60</v>
      </c>
      <c r="E5" t="n">
        <v>165</v>
      </c>
      <c r="F5" t="n">
        <v>161</v>
      </c>
      <c r="G5" t="n">
        <v>153</v>
      </c>
      <c r="H5" t="n">
        <v>197</v>
      </c>
      <c r="I5" t="n">
        <v>207</v>
      </c>
      <c r="J5">
        <f>D5/(E5/100)^2</f>
        <v/>
      </c>
      <c r="K5">
        <f>G5-F5</f>
        <v/>
      </c>
      <c r="L5">
        <f>K5/F5*100</f>
        <v/>
      </c>
      <c r="M5">
        <f>H5/18</f>
        <v/>
      </c>
      <c r="N5">
        <f>LOG10(I5)</f>
        <v/>
      </c>
      <c r="O5">
        <f>C5^2</f>
        <v/>
      </c>
      <c r="P5">
        <f>(C5-AVERAGE($C$2:$C$25))^2</f>
        <v/>
      </c>
    </row>
    <row r="6">
      <c r="A6" t="n">
        <v>5</v>
      </c>
      <c r="B6" t="n">
        <v>1</v>
      </c>
      <c r="C6" t="n">
        <v>39</v>
      </c>
      <c r="D6" t="n">
        <v>81</v>
      </c>
      <c r="E6" t="n">
        <v>154</v>
      </c>
      <c r="F6" t="n">
        <v>149</v>
      </c>
      <c r="G6" t="n">
        <v>129</v>
      </c>
      <c r="H6" t="n">
        <v>185</v>
      </c>
      <c r="I6" t="n">
        <v>294</v>
      </c>
      <c r="J6">
        <f>D6/(E6/100)^2</f>
        <v/>
      </c>
      <c r="K6">
        <f>G6-F6</f>
        <v/>
      </c>
      <c r="L6">
        <f>K6/F6*100</f>
        <v/>
      </c>
      <c r="M6">
        <f>H6/18</f>
        <v/>
      </c>
      <c r="N6">
        <f>LOG10(I6)</f>
        <v/>
      </c>
      <c r="O6">
        <f>C6^2</f>
        <v/>
      </c>
      <c r="P6">
        <f>(C6-AVERAGE($C$2:$C$25))^2</f>
        <v/>
      </c>
    </row>
    <row r="7">
      <c r="A7" t="n">
        <v>6</v>
      </c>
      <c r="B7" t="n">
        <v>1</v>
      </c>
      <c r="C7" t="n">
        <v>47</v>
      </c>
      <c r="D7" t="n">
        <v>84.2</v>
      </c>
      <c r="E7" t="n">
        <v>158</v>
      </c>
      <c r="F7" t="n">
        <v>168</v>
      </c>
      <c r="G7" t="n">
        <v>154</v>
      </c>
      <c r="H7" t="n">
        <v>137</v>
      </c>
      <c r="I7" t="n">
        <v>210</v>
      </c>
      <c r="J7">
        <f>D7/(E7/100)^2</f>
        <v/>
      </c>
      <c r="K7">
        <f>G7-F7</f>
        <v/>
      </c>
      <c r="L7">
        <f>K7/F7*100</f>
        <v/>
      </c>
      <c r="M7">
        <f>H7/18</f>
        <v/>
      </c>
      <c r="N7">
        <f>LOG10(I7)</f>
        <v/>
      </c>
      <c r="O7">
        <f>C7^2</f>
        <v/>
      </c>
      <c r="P7">
        <f>(C7-AVERAGE($C$2:$C$25))^2</f>
        <v/>
      </c>
    </row>
    <row r="8">
      <c r="A8" t="n">
        <v>7</v>
      </c>
      <c r="B8" t="n">
        <v>1</v>
      </c>
      <c r="C8" t="n">
        <v>61</v>
      </c>
      <c r="D8" t="n">
        <v>76.3</v>
      </c>
      <c r="E8" t="n">
        <v>155</v>
      </c>
      <c r="F8" t="n">
        <v>164</v>
      </c>
      <c r="G8" t="n">
        <v>134</v>
      </c>
      <c r="H8" t="n">
        <v>151</v>
      </c>
      <c r="I8" t="n">
        <v>195</v>
      </c>
      <c r="J8">
        <f>D8/(E8/100)^2</f>
        <v/>
      </c>
      <c r="K8">
        <f>G8-F8</f>
        <v/>
      </c>
      <c r="L8">
        <f>K8/F8*100</f>
        <v/>
      </c>
      <c r="M8">
        <f>H8/18</f>
        <v/>
      </c>
      <c r="N8">
        <f>LOG10(I8)</f>
        <v/>
      </c>
      <c r="O8">
        <f>C8^2</f>
        <v/>
      </c>
      <c r="P8">
        <f>(C8-AVERAGE($C$2:$C$25))^2</f>
        <v/>
      </c>
    </row>
    <row r="9">
      <c r="A9" t="n">
        <v>8</v>
      </c>
      <c r="B9" t="n">
        <v>1</v>
      </c>
      <c r="C9" t="n">
        <v>64</v>
      </c>
      <c r="D9" t="n">
        <v>63.5</v>
      </c>
      <c r="E9" t="n">
        <v>157</v>
      </c>
      <c r="F9" t="n">
        <v>146</v>
      </c>
      <c r="G9" t="n">
        <v>132</v>
      </c>
      <c r="H9" t="n">
        <v>189</v>
      </c>
      <c r="I9" t="n">
        <v>225</v>
      </c>
      <c r="J9">
        <f>D9/(E9/100)^2</f>
        <v/>
      </c>
      <c r="K9">
        <f>G9-F9</f>
        <v/>
      </c>
      <c r="L9">
        <f>K9/F9*100</f>
        <v/>
      </c>
      <c r="M9">
        <f>H9/18</f>
        <v/>
      </c>
      <c r="N9">
        <f>LOG10(I9)</f>
        <v/>
      </c>
      <c r="O9">
        <f>C9^2</f>
        <v/>
      </c>
      <c r="P9">
        <f>(C9-AVERAGE($C$2:$C$25))^2</f>
        <v/>
      </c>
    </row>
    <row r="10">
      <c r="A10" t="n">
        <v>9</v>
      </c>
      <c r="B10" t="n">
        <v>2</v>
      </c>
      <c r="C10" t="n">
        <v>69</v>
      </c>
      <c r="D10" t="n">
        <v>103.9</v>
      </c>
      <c r="E10" t="n">
        <v>186</v>
      </c>
      <c r="F10" t="n">
        <v>137</v>
      </c>
      <c r="G10" t="n">
        <v>116</v>
      </c>
      <c r="H10" t="n">
        <v>174</v>
      </c>
      <c r="I10" t="n">
        <v>241</v>
      </c>
      <c r="J10">
        <f>D10/(E10/100)^2</f>
        <v/>
      </c>
      <c r="K10">
        <f>G10-F10</f>
        <v/>
      </c>
      <c r="L10">
        <f>K10/F10*100</f>
        <v/>
      </c>
      <c r="M10">
        <f>H10/18</f>
        <v/>
      </c>
      <c r="N10">
        <f>LOG10(I10)</f>
        <v/>
      </c>
      <c r="O10">
        <f>C10^2</f>
        <v/>
      </c>
      <c r="P10">
        <f>(C10-AVERAGE($C$2:$C$25))^2</f>
        <v/>
      </c>
    </row>
    <row r="11">
      <c r="A11" t="n">
        <v>10</v>
      </c>
      <c r="B11" t="n">
        <v>1</v>
      </c>
      <c r="C11" t="n">
        <v>49</v>
      </c>
      <c r="D11" t="n">
        <v>72.3</v>
      </c>
      <c r="E11" t="n">
        <v>163</v>
      </c>
      <c r="F11" t="n">
        <v>138</v>
      </c>
      <c r="G11" t="n">
        <v>125</v>
      </c>
      <c r="H11" t="n">
        <v>78</v>
      </c>
      <c r="I11" t="n">
        <v>353</v>
      </c>
      <c r="J11">
        <f>D11/(E11/100)^2</f>
        <v/>
      </c>
      <c r="K11">
        <f>G11-F11</f>
        <v/>
      </c>
      <c r="L11">
        <f>K11/F11*100</f>
        <v/>
      </c>
      <c r="M11">
        <f>H11/18</f>
        <v/>
      </c>
      <c r="N11">
        <f>LOG10(I11)</f>
        <v/>
      </c>
      <c r="O11">
        <f>C11^2</f>
        <v/>
      </c>
      <c r="P11">
        <f>(C11-AVERAGE($C$2:$C$25))^2</f>
        <v/>
      </c>
    </row>
    <row r="12">
      <c r="A12" t="n">
        <v>11</v>
      </c>
      <c r="B12" t="n">
        <v>2</v>
      </c>
      <c r="C12" t="n">
        <v>51</v>
      </c>
      <c r="D12" t="n">
        <v>90.09999999999999</v>
      </c>
      <c r="E12" t="n">
        <v>166</v>
      </c>
      <c r="F12" t="n">
        <v>144</v>
      </c>
      <c r="G12" t="n">
        <v>141</v>
      </c>
      <c r="H12" t="n">
        <v>100</v>
      </c>
      <c r="I12" t="n">
        <v>188</v>
      </c>
      <c r="J12">
        <f>D12/(E12/100)^2</f>
        <v/>
      </c>
      <c r="K12">
        <f>G12-F12</f>
        <v/>
      </c>
      <c r="L12">
        <f>K12/F12*100</f>
        <v/>
      </c>
      <c r="M12">
        <f>H12/18</f>
        <v/>
      </c>
      <c r="N12">
        <f>LOG10(I12)</f>
        <v/>
      </c>
      <c r="O12">
        <f>C12^2</f>
        <v/>
      </c>
      <c r="P12">
        <f>(C12-AVERAGE($C$2:$C$25))^2</f>
        <v/>
      </c>
    </row>
    <row r="13">
      <c r="A13" t="n">
        <v>12</v>
      </c>
      <c r="B13" t="n">
        <v>2</v>
      </c>
      <c r="C13" t="n">
        <v>73</v>
      </c>
      <c r="D13" t="n">
        <v>71.09999999999999</v>
      </c>
      <c r="E13" t="n">
        <v>164</v>
      </c>
      <c r="F13" t="n">
        <v>147</v>
      </c>
      <c r="G13" t="n">
        <v>150</v>
      </c>
      <c r="H13" t="n">
        <v>151</v>
      </c>
      <c r="I13" t="n">
        <v>252</v>
      </c>
      <c r="J13">
        <f>D13/(E13/100)^2</f>
        <v/>
      </c>
      <c r="K13">
        <f>G13-F13</f>
        <v/>
      </c>
      <c r="L13">
        <f>K13/F13*100</f>
        <v/>
      </c>
      <c r="M13">
        <f>H13/18</f>
        <v/>
      </c>
      <c r="N13">
        <f>LOG10(I13)</f>
        <v/>
      </c>
      <c r="O13">
        <f>C13^2</f>
        <v/>
      </c>
      <c r="P13">
        <f>(C13-AVERAGE($C$2:$C$25))^2</f>
        <v/>
      </c>
    </row>
    <row r="14">
      <c r="A14" t="n">
        <v>13</v>
      </c>
      <c r="B14" t="n">
        <v>2</v>
      </c>
      <c r="C14" t="n">
        <v>57</v>
      </c>
      <c r="D14" t="n">
        <v>60.7</v>
      </c>
      <c r="E14" t="n">
        <v>164</v>
      </c>
      <c r="F14" t="n">
        <v>154</v>
      </c>
      <c r="G14" t="n">
        <v>147</v>
      </c>
      <c r="H14" t="n">
        <v>170</v>
      </c>
      <c r="I14" t="n">
        <v>188</v>
      </c>
      <c r="J14">
        <f>D14/(E14/100)^2</f>
        <v/>
      </c>
      <c r="K14">
        <f>G14-F14</f>
        <v/>
      </c>
      <c r="L14">
        <f>K14/F14*100</f>
        <v/>
      </c>
      <c r="M14">
        <f>H14/18</f>
        <v/>
      </c>
      <c r="N14">
        <f>LOG10(I14)</f>
        <v/>
      </c>
      <c r="O14">
        <f>C14^2</f>
        <v/>
      </c>
      <c r="P14">
        <f>(C14-AVERAGE($C$2:$C$25))^2</f>
        <v/>
      </c>
    </row>
    <row r="15">
      <c r="A15" t="n">
        <v>14</v>
      </c>
      <c r="B15" t="n">
        <v>1</v>
      </c>
      <c r="C15" t="n">
        <v>72</v>
      </c>
      <c r="D15" t="n">
        <v>53.3</v>
      </c>
      <c r="E15" t="n">
        <v>148</v>
      </c>
      <c r="F15" t="n">
        <v>138</v>
      </c>
      <c r="G15" t="n">
        <v>126</v>
      </c>
      <c r="H15" t="n">
        <v>119</v>
      </c>
      <c r="I15" t="n">
        <v>348</v>
      </c>
      <c r="J15">
        <f>D15/(E15/100)^2</f>
        <v/>
      </c>
      <c r="K15">
        <f>G15-F15</f>
        <v/>
      </c>
      <c r="L15">
        <f>K15/F15*100</f>
        <v/>
      </c>
      <c r="M15">
        <f>H15/18</f>
        <v/>
      </c>
      <c r="N15">
        <f>LOG10(I15)</f>
        <v/>
      </c>
      <c r="O15">
        <f>C15^2</f>
        <v/>
      </c>
      <c r="P15">
        <f>(C15-AVERAGE($C$2:$C$25))^2</f>
        <v/>
      </c>
    </row>
    <row r="16">
      <c r="A16" t="n">
        <v>15</v>
      </c>
      <c r="B16" t="n">
        <v>1</v>
      </c>
      <c r="C16" t="n">
        <v>50</v>
      </c>
      <c r="D16" t="n">
        <v>64.09999999999999</v>
      </c>
      <c r="E16" t="n">
        <v>159</v>
      </c>
      <c r="F16" t="n">
        <v>132</v>
      </c>
      <c r="G16" t="n">
        <v>112</v>
      </c>
      <c r="H16" t="n">
        <v>137</v>
      </c>
      <c r="I16" t="n">
        <v>240</v>
      </c>
      <c r="J16">
        <f>D16/(E16/100)^2</f>
        <v/>
      </c>
      <c r="K16">
        <f>G16-F16</f>
        <v/>
      </c>
      <c r="L16">
        <f>K16/F16*100</f>
        <v/>
      </c>
      <c r="M16">
        <f>H16/18</f>
        <v/>
      </c>
      <c r="N16">
        <f>LOG10(I16)</f>
        <v/>
      </c>
      <c r="O16">
        <f>C16^2</f>
        <v/>
      </c>
      <c r="P16">
        <f>(C16-AVERAGE($C$2:$C$25))^2</f>
        <v/>
      </c>
    </row>
    <row r="17">
      <c r="A17" t="n">
        <v>16</v>
      </c>
      <c r="B17" t="n">
        <v>2</v>
      </c>
      <c r="C17" t="n">
        <v>71</v>
      </c>
      <c r="D17" t="n">
        <v>85.8</v>
      </c>
      <c r="E17" t="n">
        <v>165</v>
      </c>
      <c r="F17" t="n">
        <v>164</v>
      </c>
      <c r="G17" t="n">
        <v>161</v>
      </c>
      <c r="H17" t="n">
        <v>97</v>
      </c>
      <c r="I17" t="n">
        <v>259</v>
      </c>
      <c r="J17">
        <f>D17/(E17/100)^2</f>
        <v/>
      </c>
      <c r="K17">
        <f>G17-F17</f>
        <v/>
      </c>
      <c r="L17">
        <f>K17/F17*100</f>
        <v/>
      </c>
      <c r="M17">
        <f>H17/18</f>
        <v/>
      </c>
      <c r="N17">
        <f>LOG10(I17)</f>
        <v/>
      </c>
      <c r="O17">
        <f>C17^2</f>
        <v/>
      </c>
      <c r="P17">
        <f>(C17-AVERAGE($C$2:$C$25))^2</f>
        <v/>
      </c>
    </row>
    <row r="18">
      <c r="A18" t="n">
        <v>17</v>
      </c>
      <c r="B18" t="n">
        <v>2</v>
      </c>
      <c r="C18" t="n">
        <v>74</v>
      </c>
      <c r="D18" t="n">
        <v>67.40000000000001</v>
      </c>
      <c r="E18" t="n">
        <v>167</v>
      </c>
      <c r="F18" t="n">
        <v>142</v>
      </c>
      <c r="G18" t="n">
        <v>135</v>
      </c>
      <c r="H18" t="n">
        <v>184</v>
      </c>
      <c r="I18" t="n">
        <v>250</v>
      </c>
      <c r="J18">
        <f>D18/(E18/100)^2</f>
        <v/>
      </c>
      <c r="K18">
        <f>G18-F18</f>
        <v/>
      </c>
      <c r="L18">
        <f>K18/F18*100</f>
        <v/>
      </c>
      <c r="M18">
        <f>H18/18</f>
        <v/>
      </c>
      <c r="N18">
        <f>LOG10(I18)</f>
        <v/>
      </c>
      <c r="O18">
        <f>C18^2</f>
        <v/>
      </c>
      <c r="P18">
        <f>(C18-AVERAGE($C$2:$C$25))^2</f>
        <v/>
      </c>
    </row>
    <row r="19">
      <c r="A19" t="n">
        <v>18</v>
      </c>
      <c r="B19" t="n">
        <v>2</v>
      </c>
      <c r="C19" t="n">
        <v>52</v>
      </c>
      <c r="D19" t="n">
        <v>82</v>
      </c>
      <c r="E19" t="n">
        <v>170</v>
      </c>
      <c r="F19" t="n">
        <v>158</v>
      </c>
      <c r="G19" t="n">
        <v>147</v>
      </c>
      <c r="H19" t="n">
        <v>145</v>
      </c>
      <c r="I19" t="n">
        <v>123</v>
      </c>
      <c r="J19">
        <f>D19/(E19/100)^2</f>
        <v/>
      </c>
      <c r="K19">
        <f>G19-F19</f>
        <v/>
      </c>
      <c r="L19">
        <f>K19/F19*100</f>
        <v/>
      </c>
      <c r="M19">
        <f>H19/18</f>
        <v/>
      </c>
      <c r="N19">
        <f>LOG10(I19)</f>
        <v/>
      </c>
      <c r="O19">
        <f>C19^2</f>
        <v/>
      </c>
      <c r="P19">
        <f>(C19-AVERAGE($C$2:$C$25))^2</f>
        <v/>
      </c>
    </row>
    <row r="20">
      <c r="A20" t="n">
        <v>19</v>
      </c>
      <c r="B20" t="n">
        <v>1</v>
      </c>
      <c r="C20" t="n">
        <v>61</v>
      </c>
      <c r="D20" t="n">
        <v>94.40000000000001</v>
      </c>
      <c r="E20" t="n">
        <v>168</v>
      </c>
      <c r="F20" t="n">
        <v>161</v>
      </c>
      <c r="G20" t="n">
        <v>130</v>
      </c>
      <c r="H20" t="n">
        <v>134</v>
      </c>
      <c r="I20" t="n">
        <v>107</v>
      </c>
      <c r="J20">
        <f>D20/(E20/100)^2</f>
        <v/>
      </c>
      <c r="K20">
        <f>G20-F20</f>
        <v/>
      </c>
      <c r="L20">
        <f>K20/F20*100</f>
        <v/>
      </c>
      <c r="M20">
        <f>H20/18</f>
        <v/>
      </c>
      <c r="N20">
        <f>LOG10(I20)</f>
        <v/>
      </c>
      <c r="O20">
        <f>C20^2</f>
        <v/>
      </c>
      <c r="P20">
        <f>(C20-AVERAGE($C$2:$C$25))^2</f>
        <v/>
      </c>
    </row>
    <row r="21">
      <c r="A21" t="n">
        <v>20</v>
      </c>
      <c r="B21" t="n">
        <v>1</v>
      </c>
      <c r="C21" t="n">
        <v>43</v>
      </c>
      <c r="D21" t="n">
        <v>71</v>
      </c>
      <c r="E21" t="n">
        <v>161</v>
      </c>
      <c r="F21" t="n">
        <v>160</v>
      </c>
      <c r="G21" t="n">
        <v>151</v>
      </c>
      <c r="H21" t="n">
        <v>180</v>
      </c>
      <c r="I21" t="n">
        <v>265</v>
      </c>
      <c r="J21">
        <f>D21/(E21/100)^2</f>
        <v/>
      </c>
      <c r="K21">
        <f>G21-F21</f>
        <v/>
      </c>
      <c r="L21">
        <f>K21/F21*100</f>
        <v/>
      </c>
      <c r="M21">
        <f>H21/18</f>
        <v/>
      </c>
      <c r="N21">
        <f>LOG10(I21)</f>
        <v/>
      </c>
      <c r="O21">
        <f>C21^2</f>
        <v/>
      </c>
      <c r="P21">
        <f>(C21-AVERAGE($C$2:$C$25))^2</f>
        <v/>
      </c>
    </row>
    <row r="22">
      <c r="A22" t="n">
        <v>21</v>
      </c>
      <c r="B22" t="n">
        <v>2</v>
      </c>
      <c r="C22" t="n">
        <v>71</v>
      </c>
      <c r="D22" t="n">
        <v>81.40000000000001</v>
      </c>
      <c r="E22" t="n">
        <v>165</v>
      </c>
      <c r="F22" t="n">
        <v>171</v>
      </c>
      <c r="G22" t="n">
        <v>157</v>
      </c>
      <c r="H22" t="n">
        <v>166</v>
      </c>
      <c r="I22" t="n">
        <v>52</v>
      </c>
      <c r="J22">
        <f>D22/(E22/100)^2</f>
        <v/>
      </c>
      <c r="K22">
        <f>G22-F22</f>
        <v/>
      </c>
      <c r="L22">
        <f>K22/F22*100</f>
        <v/>
      </c>
      <c r="M22">
        <f>H22/18</f>
        <v/>
      </c>
      <c r="N22">
        <f>LOG10(I22)</f>
        <v/>
      </c>
      <c r="O22">
        <f>C22^2</f>
        <v/>
      </c>
      <c r="P22">
        <f>(C22-AVERAGE($C$2:$C$25))^2</f>
        <v/>
      </c>
    </row>
    <row r="23">
      <c r="A23" t="n">
        <v>22</v>
      </c>
      <c r="B23" t="n">
        <v>1</v>
      </c>
      <c r="C23" t="n">
        <v>63</v>
      </c>
      <c r="D23" t="n">
        <v>104.8</v>
      </c>
      <c r="E23" t="n">
        <v>157</v>
      </c>
      <c r="F23" t="n">
        <v>151</v>
      </c>
      <c r="G23" t="n">
        <v>121</v>
      </c>
      <c r="H23" t="n">
        <v>104</v>
      </c>
      <c r="I23" t="n">
        <v>162</v>
      </c>
      <c r="J23">
        <f>D23/(E23/100)^2</f>
        <v/>
      </c>
      <c r="K23">
        <f>G23-F23</f>
        <v/>
      </c>
      <c r="L23">
        <f>K23/F23*100</f>
        <v/>
      </c>
      <c r="M23">
        <f>H23/18</f>
        <v/>
      </c>
      <c r="N23">
        <f>LOG10(I23)</f>
        <v/>
      </c>
      <c r="O23">
        <f>C23^2</f>
        <v/>
      </c>
      <c r="P23">
        <f>(C23-AVERAGE($C$2:$C$25))^2</f>
        <v/>
      </c>
    </row>
    <row r="24">
      <c r="A24" t="n">
        <v>23</v>
      </c>
      <c r="B24" t="n">
        <v>2</v>
      </c>
      <c r="C24" t="n">
        <v>57</v>
      </c>
      <c r="D24" t="n">
        <v>79.40000000000001</v>
      </c>
      <c r="E24" t="n">
        <v>157</v>
      </c>
      <c r="F24" t="n">
        <v>152</v>
      </c>
      <c r="G24" t="n">
        <v>141</v>
      </c>
      <c r="H24" t="n">
        <v>176</v>
      </c>
      <c r="I24" t="n">
        <v>342</v>
      </c>
      <c r="J24">
        <f>D24/(E24/100)^2</f>
        <v/>
      </c>
      <c r="K24">
        <f>G24-F24</f>
        <v/>
      </c>
      <c r="L24">
        <f>K24/F24*100</f>
        <v/>
      </c>
      <c r="M24">
        <f>H24/18</f>
        <v/>
      </c>
      <c r="N24">
        <f>LOG10(I24)</f>
        <v/>
      </c>
      <c r="O24">
        <f>C24^2</f>
        <v/>
      </c>
      <c r="P24">
        <f>(C24-AVERAGE($C$2:$C$25))^2</f>
        <v/>
      </c>
    </row>
    <row r="25">
      <c r="A25" t="n">
        <v>24</v>
      </c>
      <c r="B25" t="n">
        <v>1</v>
      </c>
      <c r="C25" t="n">
        <v>68</v>
      </c>
      <c r="D25" t="n">
        <v>87</v>
      </c>
      <c r="E25" t="n">
        <v>158</v>
      </c>
      <c r="F25" t="n">
        <v>148</v>
      </c>
      <c r="G25" t="n">
        <v>128</v>
      </c>
      <c r="H25" t="n">
        <v>136</v>
      </c>
      <c r="I25" t="n">
        <v>77</v>
      </c>
      <c r="J25">
        <f>D25/(E25/100)^2</f>
        <v/>
      </c>
      <c r="K25">
        <f>G25-F25</f>
        <v/>
      </c>
      <c r="L25">
        <f>K25/F25*100</f>
        <v/>
      </c>
      <c r="M25">
        <f>H25/18</f>
        <v/>
      </c>
      <c r="N25">
        <f>LOG10(I25)</f>
        <v/>
      </c>
      <c r="O25">
        <f>C25^2</f>
        <v/>
      </c>
      <c r="P25">
        <f>(C25-AVERAGE($C$2:$C$25))^2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2" t="inlineStr">
        <is>
          <t>gene</t>
        </is>
      </c>
      <c r="B1" s="2" t="inlineStr">
        <is>
          <t>control</t>
        </is>
      </c>
      <c r="C1" s="2" t="inlineStr">
        <is>
          <t>treated</t>
        </is>
      </c>
      <c r="D1" s="3" t="inlineStr">
        <is>
          <t>fc</t>
        </is>
      </c>
      <c r="E1" s="3" t="inlineStr">
        <is>
          <t>log2fc</t>
        </is>
      </c>
    </row>
    <row r="2">
      <c r="A2" t="inlineStr">
        <is>
          <t>IL6</t>
        </is>
      </c>
      <c r="B2" t="n">
        <v>229.5</v>
      </c>
      <c r="C2" t="n">
        <v>1939</v>
      </c>
      <c r="D2">
        <f>C2/B2</f>
        <v/>
      </c>
      <c r="E2">
        <f>LOG(D2,2)</f>
        <v/>
      </c>
    </row>
    <row r="3">
      <c r="A3" t="inlineStr">
        <is>
          <t>TNF</t>
        </is>
      </c>
      <c r="B3" t="n">
        <v>223.9</v>
      </c>
      <c r="C3" t="n">
        <v>1115.9</v>
      </c>
      <c r="D3">
        <f>C3/B3</f>
        <v/>
      </c>
      <c r="E3">
        <f>LOG(D3,2)</f>
        <v/>
      </c>
    </row>
    <row r="4">
      <c r="A4" t="inlineStr">
        <is>
          <t>CXCL8</t>
        </is>
      </c>
      <c r="B4" t="n">
        <v>110.6</v>
      </c>
      <c r="C4" t="n">
        <v>481.9</v>
      </c>
      <c r="D4">
        <f>C4/B4</f>
        <v/>
      </c>
      <c r="E4">
        <f>LOG(D4,2)</f>
        <v/>
      </c>
    </row>
    <row r="5">
      <c r="A5" t="inlineStr">
        <is>
          <t>IL1B</t>
        </is>
      </c>
      <c r="B5" t="n">
        <v>145.9</v>
      </c>
      <c r="C5" t="n">
        <v>394.8</v>
      </c>
      <c r="D5">
        <f>C5/B5</f>
        <v/>
      </c>
      <c r="E5">
        <f>LOG(D5,2)</f>
        <v/>
      </c>
    </row>
    <row r="6">
      <c r="A6" t="inlineStr">
        <is>
          <t>CCL2</t>
        </is>
      </c>
      <c r="B6" t="n">
        <v>257.3</v>
      </c>
      <c r="C6" t="n">
        <v>576.5</v>
      </c>
      <c r="D6">
        <f>C6/B6</f>
        <v/>
      </c>
      <c r="E6">
        <f>LOG(D6,2)</f>
        <v/>
      </c>
    </row>
    <row r="7">
      <c r="A7" t="inlineStr">
        <is>
          <t>SOCS3</t>
        </is>
      </c>
      <c r="B7" t="n">
        <v>199.5</v>
      </c>
      <c r="C7" t="n">
        <v>328.9</v>
      </c>
      <c r="D7">
        <f>C7/B7</f>
        <v/>
      </c>
      <c r="E7">
        <f>LOG(D7,2)</f>
        <v/>
      </c>
    </row>
    <row r="8">
      <c r="A8" t="inlineStr">
        <is>
          <t>GAPDH</t>
        </is>
      </c>
      <c r="B8" t="n">
        <v>653.3</v>
      </c>
      <c r="C8" t="n">
        <v>645.7</v>
      </c>
      <c r="D8">
        <f>C8/B8</f>
        <v/>
      </c>
      <c r="E8">
        <f>LOG(D8,2)</f>
        <v/>
      </c>
    </row>
    <row r="9">
      <c r="A9" t="inlineStr">
        <is>
          <t>ACTB</t>
        </is>
      </c>
      <c r="B9" t="n">
        <v>115.4</v>
      </c>
      <c r="C9" t="n">
        <v>101.5</v>
      </c>
      <c r="D9">
        <f>C9/B9</f>
        <v/>
      </c>
      <c r="E9">
        <f>LOG(D9,2)</f>
        <v/>
      </c>
    </row>
    <row r="10">
      <c r="A10" t="inlineStr">
        <is>
          <t>MYC</t>
        </is>
      </c>
      <c r="B10" t="n">
        <v>1424.3</v>
      </c>
      <c r="C10" t="n">
        <v>1048.2</v>
      </c>
      <c r="D10">
        <f>C10/B10</f>
        <v/>
      </c>
      <c r="E10">
        <f>LOG(D10,2)</f>
        <v/>
      </c>
    </row>
    <row r="11">
      <c r="A11" t="inlineStr">
        <is>
          <t>FOS</t>
        </is>
      </c>
      <c r="B11" t="n">
        <v>128.6</v>
      </c>
      <c r="C11" t="n">
        <v>61.3</v>
      </c>
      <c r="D11">
        <f>C11/B11</f>
        <v/>
      </c>
      <c r="E11">
        <f>LOG(D11,2)</f>
        <v/>
      </c>
    </row>
    <row r="12">
      <c r="A12" t="inlineStr">
        <is>
          <t>HMOX1</t>
        </is>
      </c>
      <c r="B12" t="n">
        <v>93.3</v>
      </c>
      <c r="C12" t="n">
        <v>272.4</v>
      </c>
      <c r="D12">
        <f>C12/B12</f>
        <v/>
      </c>
      <c r="E12">
        <f>LOG(D12,2)</f>
        <v/>
      </c>
    </row>
    <row r="13">
      <c r="A13" t="inlineStr">
        <is>
          <t>NFKBIA</t>
        </is>
      </c>
      <c r="B13" t="n">
        <v>142.7</v>
      </c>
      <c r="C13" t="n">
        <v>258.6</v>
      </c>
      <c r="D13">
        <f>C13/B13</f>
        <v/>
      </c>
      <c r="E13">
        <f>LOG(D13,2)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C0 (mg/L)</t>
        </is>
      </c>
      <c r="B1" t="n">
        <v>100</v>
      </c>
    </row>
    <row r="2">
      <c r="A2" s="4" t="inlineStr">
        <is>
          <t>t_half (h)</t>
        </is>
      </c>
      <c r="B2" t="n">
        <v>4</v>
      </c>
    </row>
    <row r="4">
      <c r="A4" s="4" t="inlineStr">
        <is>
          <t>t (h)</t>
        </is>
      </c>
      <c r="B4" t="inlineStr">
        <is>
          <t>conc (mg/L)</t>
        </is>
      </c>
    </row>
    <row r="5">
      <c r="A5" t="n">
        <v>0</v>
      </c>
      <c r="B5">
        <f>$B$1*0.5^(A5/$B$2)</f>
        <v/>
      </c>
    </row>
    <row r="6">
      <c r="A6" t="n">
        <v>2</v>
      </c>
      <c r="B6">
        <f>$B$1*0.5^(A6/$B$2)</f>
        <v/>
      </c>
    </row>
    <row r="7">
      <c r="A7" t="n">
        <v>4</v>
      </c>
      <c r="B7">
        <f>$B$1*0.5^(A7/$B$2)</f>
        <v/>
      </c>
    </row>
    <row r="8">
      <c r="A8" t="n">
        <v>6</v>
      </c>
      <c r="B8">
        <f>$B$1*0.5^(A8/$B$2)</f>
        <v/>
      </c>
    </row>
    <row r="9">
      <c r="A9" t="n">
        <v>8</v>
      </c>
      <c r="B9">
        <f>$B$1*0.5^(A9/$B$2)</f>
        <v/>
      </c>
    </row>
    <row r="10">
      <c r="A10" t="n">
        <v>10</v>
      </c>
      <c r="B10">
        <f>$B$1*0.5^(A10/$B$2)</f>
        <v/>
      </c>
    </row>
    <row r="11">
      <c r="A11" t="n">
        <v>12</v>
      </c>
      <c r="B11">
        <f>$B$1*0.5^(A11/$B$2)</f>
        <v/>
      </c>
    </row>
    <row r="12">
      <c r="A12" t="n">
        <v>14</v>
      </c>
      <c r="B12">
        <f>$B$1*0.5^(A12/$B$2)</f>
        <v/>
      </c>
    </row>
    <row r="13">
      <c r="A13" t="n">
        <v>16</v>
      </c>
      <c r="B13">
        <f>$B$1*0.5^(A13/$B$2)</f>
        <v/>
      </c>
    </row>
    <row r="14">
      <c r="A14" t="n">
        <v>18</v>
      </c>
      <c r="B14">
        <f>$B$1*0.5^(A14/$B$2)</f>
        <v/>
      </c>
    </row>
    <row r="15">
      <c r="A15" t="n">
        <v>20</v>
      </c>
      <c r="B15">
        <f>$B$1*0.5^(A15/$B$2)</f>
        <v/>
      </c>
    </row>
    <row r="16">
      <c r="A16" t="n">
        <v>22</v>
      </c>
      <c r="B16">
        <f>$B$1*0.5^(A16/$B$2)</f>
        <v/>
      </c>
    </row>
    <row r="17">
      <c r="A17" t="n">
        <v>24</v>
      </c>
      <c r="B17">
        <f>$B$1*0.5^(A17/$B$2)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2026-10-26T18:22:22Z</dcterms:created>
  <dcterms:modified xmlns:dcterms="http://purl.org/dc/terms/" xmlns:xsi="http://www.w3.org/2001/XMLSchema-instance" xsi:type="dcterms:W3CDTF">2026-10-26T18:22:22Z</dcterms:modified>
</cp:coreProperties>
</file>