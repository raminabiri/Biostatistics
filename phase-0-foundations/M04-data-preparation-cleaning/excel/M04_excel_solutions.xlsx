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s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labs" sheetId="3" state="visible" r:id="rId3"/>
    <sheet xmlns:r="http://schemas.openxmlformats.org/officeDocument/2006/relationships" name="site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1" fillId="2" borderId="0" pivotButton="0" quotePrefix="0" xfId="0"/>
    <xf numFmtId="0" fontId="1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4" customWidth="1" min="2" max="2"/>
    <col width="70" customWidth="1" min="3" max="3"/>
  </cols>
  <sheetData>
    <row r="1">
      <c r="A1" t="inlineStr">
        <is>
          <t>تمرین</t>
        </is>
      </c>
      <c r="B1" t="inlineStr">
        <is>
          <t>پرسش</t>
        </is>
      </c>
      <c r="C1" t="inlineStr">
        <is>
          <t>فرمول</t>
        </is>
      </c>
      <c r="D1" t="inlineStr">
        <is>
          <t>جواب</t>
        </is>
      </c>
      <c r="E1" t="inlineStr">
        <is>
          <t>جواب مورد انتظار</t>
        </is>
      </c>
    </row>
    <row r="2">
      <c r="A2" t="inlineStr">
        <is>
          <t>ع۱</t>
        </is>
      </c>
      <c r="B2" t="inlineStr">
        <is>
          <t>تعداد سطر</t>
        </is>
      </c>
      <c r="C2" t="inlineStr">
        <is>
          <t>COUNTA(raw!B2:B43)</t>
        </is>
      </c>
      <c r="D2" s="1">
        <f>COUNTA(raw!B2:B43)</f>
        <v/>
      </c>
      <c r="E2" t="n">
        <v>42</v>
      </c>
    </row>
    <row r="3">
      <c r="A3" t="inlineStr">
        <is>
          <t>ع۱</t>
        </is>
      </c>
      <c r="B3" t="inlineStr">
        <is>
          <t>pid یکتا</t>
        </is>
      </c>
      <c r="C3" t="inlineStr">
        <is>
          <t>SUMPRODUCT(1/COUNTIF(raw!B2:B43,raw!B2:B43))</t>
        </is>
      </c>
      <c r="D3" s="1">
        <f>SUMPRODUCT(1/COUNTIF(raw!B2:B43,raw!B2:B43))</f>
        <v/>
      </c>
      <c r="E3" t="n">
        <v>40</v>
      </c>
    </row>
    <row r="4">
      <c r="A4" t="inlineStr">
        <is>
          <t>ع۱</t>
        </is>
      </c>
      <c r="B4" t="inlineStr">
        <is>
          <t>تکرار کامل</t>
        </is>
      </c>
      <c r="C4" t="inlineStr">
        <is>
          <t>SUM(raw!N2:N43)</t>
        </is>
      </c>
      <c r="D4" s="1">
        <f>SUM(raw!N2:N43)</f>
        <v/>
      </c>
      <c r="E4" t="n">
        <v>1</v>
      </c>
    </row>
    <row r="5">
      <c r="A5" t="inlineStr">
        <is>
          <t>ع۱</t>
        </is>
      </c>
      <c r="B5" t="inlineStr">
        <is>
          <t>تکرار کلید</t>
        </is>
      </c>
      <c r="C5" t="inlineStr">
        <is>
          <t>SUM(raw!O2:O43)</t>
        </is>
      </c>
      <c r="D5" s="1">
        <f>SUM(raw!O2:O43)</f>
        <v/>
      </c>
      <c r="E5" t="n">
        <v>1</v>
      </c>
    </row>
    <row r="6">
      <c r="A6" t="inlineStr">
        <is>
          <t>ع۲</t>
        </is>
      </c>
      <c r="B6" t="inlineStr">
        <is>
          <t>سطر پس از P1–P2</t>
        </is>
      </c>
      <c r="C6" t="inlineStr">
        <is>
          <t>SUM(raw!P2:P43)</t>
        </is>
      </c>
      <c r="D6" s="1">
        <f>SUM(raw!P2:P43)</f>
        <v/>
      </c>
      <c r="E6" t="n">
        <v>40</v>
      </c>
    </row>
    <row r="7">
      <c r="A7" t="inlineStr">
        <is>
          <t>ع۲</t>
        </is>
      </c>
      <c r="B7" t="inlineStr">
        <is>
          <t>زن</t>
        </is>
      </c>
      <c r="C7" t="inlineStr">
        <is>
          <t>COUNTIFS(raw!P2:P43,1,raw!Q2:Q43,"F")</t>
        </is>
      </c>
      <c r="D7" s="1">
        <f>COUNTIFS(raw!P2:P43,1,raw!Q2:Q43,"F")</f>
        <v/>
      </c>
      <c r="E7" t="n">
        <v>14</v>
      </c>
    </row>
    <row r="8">
      <c r="A8" t="inlineStr">
        <is>
          <t>ع۲</t>
        </is>
      </c>
      <c r="B8" t="inlineStr">
        <is>
          <t>مرد</t>
        </is>
      </c>
      <c r="C8" t="inlineStr">
        <is>
          <t>COUNTIFS(raw!P2:P43,1,raw!Q2:Q43,"M")</t>
        </is>
      </c>
      <c r="D8" s="1">
        <f>COUNTIFS(raw!P2:P43,1,raw!Q2:Q43,"M")</f>
        <v/>
      </c>
      <c r="E8" t="n">
        <v>26</v>
      </c>
    </row>
    <row r="9">
      <c r="A9" t="inlineStr">
        <is>
          <t>ع۲</t>
        </is>
      </c>
      <c r="B9" t="inlineStr">
        <is>
          <t>yes</t>
        </is>
      </c>
      <c r="C9" t="inlineStr">
        <is>
          <t>COUNTIFS(raw!P2:P43,1,raw!R2:R43,"yes")</t>
        </is>
      </c>
      <c r="D9" s="1">
        <f>COUNTIFS(raw!P2:P43,1,raw!R2:R43,"yes")</f>
        <v/>
      </c>
      <c r="E9" t="n">
        <v>4</v>
      </c>
    </row>
    <row r="10">
      <c r="A10" t="inlineStr">
        <is>
          <t>ع۲</t>
        </is>
      </c>
      <c r="B10" t="inlineStr">
        <is>
          <t>no</t>
        </is>
      </c>
      <c r="C10" t="inlineStr">
        <is>
          <t>COUNTIFS(raw!P2:P43,1,raw!R2:R43,"no")</t>
        </is>
      </c>
      <c r="D10" s="1">
        <f>COUNTIFS(raw!P2:P43,1,raw!R2:R43,"no")</f>
        <v/>
      </c>
      <c r="E10" t="n">
        <v>35</v>
      </c>
    </row>
    <row r="11">
      <c r="A11" t="inlineStr">
        <is>
          <t>ع۲</t>
        </is>
      </c>
      <c r="B11" t="inlineStr">
        <is>
          <t>smoker گمشده</t>
        </is>
      </c>
      <c r="C11" t="inlineStr">
        <is>
          <t>COUNTIFS(raw!P2:P43,1,raw!R2:R43,"")</t>
        </is>
      </c>
      <c r="D11" s="1">
        <f>COUNTIFS(raw!P2:P43,1,raw!R2:R43,"")</f>
        <v/>
      </c>
      <c r="E11" t="n">
        <v>1</v>
      </c>
    </row>
    <row r="12">
      <c r="A12" t="inlineStr">
        <is>
          <t>ع۳</t>
        </is>
      </c>
      <c r="B12" t="inlineStr">
        <is>
          <t>قد به متر</t>
        </is>
      </c>
      <c r="C12" t="inlineStr">
        <is>
          <t>COUNTIFS(raw!P2:P43,1,raw!F2:F43,"&lt;3")</t>
        </is>
      </c>
      <c r="D12" s="1">
        <f>COUNTIFS(raw!P2:P43,1,raw!F2:F43,"&lt;3")</f>
        <v/>
      </c>
      <c r="E12" t="n">
        <v>1</v>
      </c>
    </row>
    <row r="13">
      <c r="A13" t="inlineStr">
        <is>
          <t>ع۳</t>
        </is>
      </c>
      <c r="B13" t="inlineStr">
        <is>
          <t>قد گمشده</t>
        </is>
      </c>
      <c r="C13" t="inlineStr">
        <is>
          <t>COUNTIFS(raw!P2:P43,1,raw!S2:S43,"")</t>
        </is>
      </c>
      <c r="D13" s="1">
        <f>COUNTIFS(raw!P2:P43,1,raw!S2:S43,"")</f>
        <v/>
      </c>
      <c r="E13" t="n">
        <v>1</v>
      </c>
    </row>
    <row r="14">
      <c r="A14" t="inlineStr">
        <is>
          <t>ع۳</t>
        </is>
      </c>
      <c r="B14" t="inlineStr">
        <is>
          <t>وزن گمشده</t>
        </is>
      </c>
      <c r="C14" t="inlineStr">
        <is>
          <t>COUNTIFS(raw!P2:P43,1,raw!T2:T43,"")</t>
        </is>
      </c>
      <c r="D14" s="1">
        <f>COUNTIFS(raw!P2:P43,1,raw!T2:T43,"")</f>
        <v/>
      </c>
      <c r="E14" t="n">
        <v>1</v>
      </c>
    </row>
    <row r="15">
      <c r="A15" t="inlineStr">
        <is>
          <t>ع۳</t>
        </is>
      </c>
      <c r="B15" t="inlineStr">
        <is>
          <t>sbp گمشده (P7)</t>
        </is>
      </c>
      <c r="C15" t="inlineStr">
        <is>
          <t>COUNTIFS(raw!P2:P43,1,raw!U2:U43,"")</t>
        </is>
      </c>
      <c r="D15" s="1">
        <f>COUNTIFS(raw!P2:P43,1,raw!U2:U43,"")</f>
        <v/>
      </c>
      <c r="E15" t="n">
        <v>2</v>
      </c>
    </row>
    <row r="16">
      <c r="A16" t="inlineStr">
        <is>
          <t>ع۴</t>
        </is>
      </c>
      <c r="B16" t="inlineStr">
        <is>
          <t>dbp≥sbp</t>
        </is>
      </c>
      <c r="C16" t="inlineStr">
        <is>
          <t>SUMIFS(raw!W2:W43,raw!P2:P43,1)</t>
        </is>
      </c>
      <c r="D16" s="1">
        <f>SUMIFS(raw!W2:W43,raw!P2:P43,1)</f>
        <v/>
      </c>
      <c r="E16" t="n">
        <v>1</v>
      </c>
    </row>
    <row r="17">
      <c r="A17" t="inlineStr">
        <is>
          <t>ع۴</t>
        </is>
      </c>
      <c r="B17" t="inlineStr">
        <is>
          <t>مرد باردار</t>
        </is>
      </c>
      <c r="C17" t="inlineStr">
        <is>
          <t>COUNTIFS(raw!P2:P43,1,raw!Q2:Q43,"M",raw!K2:K43,"yes")</t>
        </is>
      </c>
      <c r="D17" s="1">
        <f>COUNTIFS(raw!P2:P43,1,raw!Q2:Q43,"M",raw!K2:K43,"yes")</f>
        <v/>
      </c>
      <c r="E17" t="n">
        <v>1</v>
      </c>
    </row>
    <row r="18">
      <c r="A18" t="inlineStr">
        <is>
          <t>ع۴</t>
        </is>
      </c>
      <c r="B18" t="inlineStr">
        <is>
          <t>تولد بعد از ویزیت</t>
        </is>
      </c>
      <c r="C18" t="inlineStr">
        <is>
          <t>SUMPRODUCT((raw!P2:P43=1)*(raw!D2:D43&gt;raw!E2:E43))</t>
        </is>
      </c>
      <c r="D18" s="1">
        <f>SUMPRODUCT((raw!P2:P43=1)*(raw!D2:D43&gt;raw!E2:E43))</f>
        <v/>
      </c>
      <c r="E18" t="n">
        <v>1</v>
      </c>
    </row>
    <row r="19">
      <c r="A19" t="inlineStr">
        <is>
          <t>ع۴</t>
        </is>
      </c>
      <c r="B19" t="inlineStr">
        <is>
          <t>زیر ۱۸</t>
        </is>
      </c>
      <c r="C19" t="inlineStr">
        <is>
          <t>COUNTIFS(raw!P2:P43,1,raw!AB2:AB43,"&lt;18")</t>
        </is>
      </c>
      <c r="D19" s="1">
        <f>COUNTIFS(raw!P2:P43,1,raw!AB2:AB43,"&lt;18")</f>
        <v/>
      </c>
      <c r="E19" t="n">
        <v>1</v>
      </c>
    </row>
    <row r="20">
      <c r="A20" t="inlineStr">
        <is>
          <t>ع۴</t>
        </is>
      </c>
      <c r="B20" t="inlineStr">
        <is>
          <t>n تحلیل</t>
        </is>
      </c>
      <c r="C20" t="inlineStr">
        <is>
          <t>SUM(raw!AC2:AC43)</t>
        </is>
      </c>
      <c r="D20" s="1">
        <f>SUM(raw!AC2:AC43)</f>
        <v/>
      </c>
      <c r="E20" t="n">
        <v>39</v>
      </c>
    </row>
    <row r="21">
      <c r="A21" t="inlineStr">
        <is>
          <t>ع۵</t>
        </is>
      </c>
      <c r="B21" t="inlineStr">
        <is>
          <t>میانگین سن</t>
        </is>
      </c>
      <c r="C21" t="inlineStr">
        <is>
          <t>AVERAGEIFS(raw!AB2:AB43,raw!AC2:AC43,1)</t>
        </is>
      </c>
      <c r="D21" s="1">
        <f>AVERAGEIFS(raw!AB2:AB43,raw!AC2:AC43,1)</f>
        <v/>
      </c>
      <c r="E21" t="n">
        <v>48.42</v>
      </c>
    </row>
    <row r="22">
      <c r="A22" t="inlineStr">
        <is>
          <t>ع۵</t>
        </is>
      </c>
      <c r="B22" t="inlineStr">
        <is>
          <t>n سن</t>
        </is>
      </c>
      <c r="C22" t="inlineStr">
        <is>
          <t>COUNTIFS(raw!AC2:AC43,1,raw!AB2:AB43,"&gt;=0")</t>
        </is>
      </c>
      <c r="D22" s="1">
        <f>COUNTIFS(raw!AC2:AC43,1,raw!AB2:AB43,"&gt;=0")</f>
        <v/>
      </c>
      <c r="E22" t="n">
        <v>38</v>
      </c>
    </row>
    <row r="23">
      <c r="A23" t="inlineStr">
        <is>
          <t>ع۵</t>
        </is>
      </c>
      <c r="B23" t="inlineStr">
        <is>
          <t>میانگین BMI</t>
        </is>
      </c>
      <c r="C23" t="inlineStr">
        <is>
          <t>AVERAGEIFS(raw!AD2:AD43,raw!AC2:AC43,1)</t>
        </is>
      </c>
      <c r="D23" s="1">
        <f>AVERAGEIFS(raw!AD2:AD43,raw!AC2:AC43,1)</f>
        <v/>
      </c>
      <c r="E23" t="n">
        <v>26.43</v>
      </c>
    </row>
    <row r="24">
      <c r="A24" t="inlineStr">
        <is>
          <t>ع۵</t>
        </is>
      </c>
      <c r="B24" t="inlineStr">
        <is>
          <t>BMI≥30</t>
        </is>
      </c>
      <c r="C24" t="inlineStr">
        <is>
          <t>COUNTIFS(raw!AC2:AC43,1,raw!AD2:AD43,"&gt;=30")</t>
        </is>
      </c>
      <c r="D24" s="1">
        <f>COUNTIFS(raw!AC2:AC43,1,raw!AD2:AD43,"&gt;=30")</f>
        <v/>
      </c>
      <c r="E24" t="n">
        <v>5</v>
      </c>
    </row>
    <row r="25">
      <c r="A25" t="inlineStr">
        <is>
          <t>ع۵</t>
        </is>
      </c>
      <c r="B25" t="inlineStr">
        <is>
          <t>گروه ۱ (&lt;40)</t>
        </is>
      </c>
      <c r="C25" t="inlineStr">
        <is>
          <t>COUNTIFS(raw!AC2:AC43,1,raw!AE2:AE43,1)</t>
        </is>
      </c>
      <c r="D25" s="1">
        <f>COUNTIFS(raw!AC2:AC43,1,raw!AE2:AE43,1)</f>
        <v/>
      </c>
      <c r="E25" t="n">
        <v>14</v>
      </c>
    </row>
    <row r="26">
      <c r="A26" t="inlineStr">
        <is>
          <t>ع۵</t>
        </is>
      </c>
      <c r="B26" t="inlineStr">
        <is>
          <t>گروه ۲ (40–59)</t>
        </is>
      </c>
      <c r="C26" t="inlineStr">
        <is>
          <t>COUNTIFS(raw!AC2:AC43,1,raw!AE2:AE43,2)</t>
        </is>
      </c>
      <c r="D26" s="1">
        <f>COUNTIFS(raw!AC2:AC43,1,raw!AE2:AE43,2)</f>
        <v/>
      </c>
      <c r="E26" t="n">
        <v>14</v>
      </c>
    </row>
    <row r="27">
      <c r="A27" t="inlineStr">
        <is>
          <t>ع۵</t>
        </is>
      </c>
      <c r="B27" t="inlineStr">
        <is>
          <t>گروه ۳ (≥60)</t>
        </is>
      </c>
      <c r="C27" t="inlineStr">
        <is>
          <t>COUNTIFS(raw!AC2:AC43,1,raw!AE2:AE43,3)</t>
        </is>
      </c>
      <c r="D27" s="1">
        <f>COUNTIFS(raw!AC2:AC43,1,raw!AE2:AE43,3)</f>
        <v/>
      </c>
      <c r="E27" t="n">
        <v>10</v>
      </c>
    </row>
    <row r="28">
      <c r="A28" t="inlineStr">
        <is>
          <t>ع۵</t>
        </is>
      </c>
      <c r="B28" t="inlineStr">
        <is>
          <t>میانگین sbp</t>
        </is>
      </c>
      <c r="C28" t="inlineStr">
        <is>
          <t>AVERAGEIFS(raw!X2:X43,raw!AC2:AC43,1)</t>
        </is>
      </c>
      <c r="D28" s="1">
        <f>AVERAGEIFS(raw!X2:X43,raw!AC2:AC43,1)</f>
        <v/>
      </c>
      <c r="E28" t="n">
        <v>143</v>
      </c>
    </row>
    <row r="29">
      <c r="A29" t="inlineStr">
        <is>
          <t>ع۵</t>
        </is>
      </c>
      <c r="B29" t="inlineStr">
        <is>
          <t>n sbp</t>
        </is>
      </c>
      <c r="C29" t="inlineStr">
        <is>
          <t>COUNTIFS(raw!AC2:AC43,1,raw!X2:X43,"&gt;0")</t>
        </is>
      </c>
      <c r="D29" s="1">
        <f>COUNTIFS(raw!AC2:AC43,1,raw!X2:X43,"&gt;0")</f>
        <v/>
      </c>
      <c r="E29" t="n">
        <v>36</v>
      </c>
    </row>
    <row r="30">
      <c r="A30" t="inlineStr">
        <is>
          <t>ع۶</t>
        </is>
      </c>
      <c r="B30" t="inlineStr">
        <is>
          <t>سطر آزمایش</t>
        </is>
      </c>
      <c r="C30" t="inlineStr">
        <is>
          <t>COUNTA(labs!A2:A84)</t>
        </is>
      </c>
      <c r="D30" s="1">
        <f>COUNTA(labs!A2:A84)</f>
        <v/>
      </c>
      <c r="E30" t="n">
        <v>83</v>
      </c>
    </row>
    <row r="31">
      <c r="A31" t="inlineStr">
        <is>
          <t>ع۶</t>
        </is>
      </c>
      <c r="B31" t="inlineStr">
        <is>
          <t>بیمار در آزمایش</t>
        </is>
      </c>
      <c r="C31" t="inlineStr">
        <is>
          <t>SUMPRODUCT(1/COUNTIF(labs!A2:A84,labs!A2:A84))</t>
        </is>
      </c>
      <c r="D31" s="1">
        <f>SUMPRODUCT(1/COUNTIF(labs!A2:A84,labs!A2:A84))</f>
        <v/>
      </c>
      <c r="E31" t="n">
        <v>36</v>
      </c>
    </row>
    <row r="32">
      <c r="A32" t="inlineStr">
        <is>
          <t>ع۶</t>
        </is>
      </c>
      <c r="B32" t="inlineStr">
        <is>
          <t>بدون آزمایش</t>
        </is>
      </c>
      <c r="C32" t="inlineStr">
        <is>
          <t>COUNTIFS(raw!AC2:AC43,1,raw!AF2:AF43,0)</t>
        </is>
      </c>
      <c r="D32" s="1">
        <f>COUNTIFS(raw!AC2:AC43,1,raw!AF2:AF43,0)</f>
        <v/>
      </c>
      <c r="E32" t="n">
        <v>5</v>
      </c>
    </row>
    <row r="33">
      <c r="A33" t="inlineStr">
        <is>
          <t>ع۶</t>
        </is>
      </c>
      <c r="B33" t="inlineStr">
        <is>
          <t>میانگین LDL بیماران</t>
        </is>
      </c>
      <c r="C33" t="inlineStr">
        <is>
          <t>AVERAGEIFS(raw!AG2:AG43,raw!AC2:AC43,1)</t>
        </is>
      </c>
      <c r="D33" s="1">
        <f>AVERAGEIFS(raw!AG2:AG43,raw!AC2:AC43,1)</f>
        <v/>
      </c>
      <c r="E33" t="n">
        <v>120.58</v>
      </c>
    </row>
    <row r="34">
      <c r="A34" t="inlineStr">
        <is>
          <t>ع۶</t>
        </is>
      </c>
      <c r="B34" t="inlineStr">
        <is>
          <t>۱ آزمایش</t>
        </is>
      </c>
      <c r="C34" t="inlineStr">
        <is>
          <t>COUNTIFS(raw!AC2:AC43,1,raw!AF2:AF43,1)</t>
        </is>
      </c>
      <c r="D34" s="1">
        <f>COUNTIFS(raw!AC2:AC43,1,raw!AF2:AF43,1)</f>
        <v/>
      </c>
      <c r="E34" t="n">
        <v>5</v>
      </c>
    </row>
    <row r="35">
      <c r="A35" t="inlineStr">
        <is>
          <t>ع۶</t>
        </is>
      </c>
      <c r="B35" t="inlineStr">
        <is>
          <t>۲ آزمایش</t>
        </is>
      </c>
      <c r="C35" t="inlineStr">
        <is>
          <t>COUNTIFS(raw!AC2:AC43,1,raw!AF2:AF43,2)</t>
        </is>
      </c>
      <c r="D35" s="1">
        <f>COUNTIFS(raw!AC2:AC43,1,raw!AF2:AF43,2)</f>
        <v/>
      </c>
      <c r="E35" t="n">
        <v>12</v>
      </c>
    </row>
    <row r="36">
      <c r="A36" t="inlineStr">
        <is>
          <t>ع۶</t>
        </is>
      </c>
      <c r="B36" t="inlineStr">
        <is>
          <t>۳ آزمایش</t>
        </is>
      </c>
      <c r="C36" t="inlineStr">
        <is>
          <t>COUNTIFS(raw!AC2:AC43,1,raw!AF2:AF43,3)</t>
        </is>
      </c>
      <c r="D36" s="1">
        <f>COUNTIFS(raw!AC2:AC43,1,raw!AF2:AF43,3)</f>
        <v/>
      </c>
      <c r="E36" t="n">
        <v>17</v>
      </c>
    </row>
    <row r="37">
      <c r="A37" t="inlineStr">
        <is>
          <t>ع۶</t>
        </is>
      </c>
      <c r="B37" t="inlineStr">
        <is>
          <t>شناسهٔ بی‌جفت (یکتا)</t>
        </is>
      </c>
      <c r="C37" t="inlineStr">
        <is>
          <t>SUMPRODUCT(labs!E2:E84/COUNTIF(labs!A2:A84,labs!A2:A84))</t>
        </is>
      </c>
      <c r="D37" s="1">
        <f>SUMPRODUCT(labs!E2:E84/COUNTIF(labs!A2:A84,labs!A2:A84))</f>
        <v/>
      </c>
      <c r="E37" t="n">
        <v>2</v>
      </c>
    </row>
    <row r="38">
      <c r="A38" t="inlineStr">
        <is>
          <t>ع۷</t>
        </is>
      </c>
      <c r="B38" t="inlineStr">
        <is>
          <t>n نهایی</t>
        </is>
      </c>
      <c r="C38" t="inlineStr">
        <is>
          <t>SUM(raw!AC2:AC43)+COUNTA(site2!B2:B6)</t>
        </is>
      </c>
      <c r="D38" s="1">
        <f>SUM(raw!AC2:AC43)+COUNTA(site2!B2:B6)</f>
        <v/>
      </c>
      <c r="E38" t="n">
        <v>44</v>
      </c>
    </row>
    <row r="39">
      <c r="A39" t="inlineStr">
        <is>
          <t>ع۷</t>
        </is>
      </c>
      <c r="B39" t="inlineStr">
        <is>
          <t>میانگین sbp نهایی</t>
        </is>
      </c>
      <c r="C39" t="inlineStr">
        <is>
          <t>(SUMIFS(raw!X2:X43,raw!AC2:AC43,1)+SUM(site2!H2:H6))/(COUNTIFS(raw!AC2:AC43,1,raw!X2:X43,"&gt;0")+COUNT(site2!H2:H6))</t>
        </is>
      </c>
      <c r="D39" s="1">
        <f>(SUMIFS(raw!X2:X43,raw!AC2:AC43,1)+SUM(site2!H2:H6))/(COUNTIFS(raw!AC2:AC43,1,raw!X2:X43,"&gt;0")+COUNT(site2!H2:H6))</f>
        <v/>
      </c>
      <c r="E39" t="n">
        <v>143</v>
      </c>
    </row>
    <row r="40">
      <c r="A40" t="inlineStr">
        <is>
          <t>ع۷</t>
        </is>
      </c>
      <c r="B40" t="inlineStr">
        <is>
          <t>n sbp نهایی</t>
        </is>
      </c>
      <c r="C40" t="inlineStr">
        <is>
          <t>COUNTIFS(raw!AC2:AC43,1,raw!X2:X43,"&gt;0")+COUNT(site2!H2:H6)</t>
        </is>
      </c>
      <c r="D40" s="1">
        <f>COUNTIFS(raw!AC2:AC43,1,raw!X2:X43,"&gt;0")+COUNT(site2!H2:H6)</f>
        <v/>
      </c>
      <c r="E40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entry_no</t>
        </is>
      </c>
      <c r="B1" s="2" t="inlineStr">
        <is>
          <t>pid</t>
        </is>
      </c>
      <c r="C1" s="2" t="inlineStr">
        <is>
          <t>sex</t>
        </is>
      </c>
      <c r="D1" s="2" t="inlineStr">
        <is>
          <t>dob</t>
        </is>
      </c>
      <c r="E1" s="2" t="inlineStr">
        <is>
          <t>visit_date</t>
        </is>
      </c>
      <c r="F1" s="2" t="inlineStr">
        <is>
          <t>height_cm</t>
        </is>
      </c>
      <c r="G1" s="2" t="inlineStr">
        <is>
          <t>weight_kg</t>
        </is>
      </c>
      <c r="H1" s="2" t="inlineStr">
        <is>
          <t>sbp</t>
        </is>
      </c>
      <c r="I1" s="2" t="inlineStr">
        <is>
          <t>dbp</t>
        </is>
      </c>
      <c r="J1" s="2" t="inlineStr">
        <is>
          <t>smoker</t>
        </is>
      </c>
      <c r="K1" s="2" t="inlineStr">
        <is>
          <t>pregnant</t>
        </is>
      </c>
      <c r="L1" s="2" t="inlineStr">
        <is>
          <t>hba1c</t>
        </is>
      </c>
      <c r="M1" s="3" t="inlineStr">
        <is>
          <t>key</t>
        </is>
      </c>
      <c r="N1" s="3" t="inlineStr">
        <is>
          <t>exact_dup</t>
        </is>
      </c>
      <c r="O1" s="3" t="inlineStr">
        <is>
          <t>key_dup</t>
        </is>
      </c>
      <c r="P1" s="3" t="inlineStr">
        <is>
          <t>keep</t>
        </is>
      </c>
      <c r="Q1" s="3" t="inlineStr">
        <is>
          <t>sex_c</t>
        </is>
      </c>
      <c r="R1" s="3" t="inlineStr">
        <is>
          <t>smoker_c</t>
        </is>
      </c>
      <c r="S1" s="3" t="inlineStr">
        <is>
          <t>height_c</t>
        </is>
      </c>
      <c r="T1" s="3" t="inlineStr">
        <is>
          <t>weight_c</t>
        </is>
      </c>
      <c r="U1" s="3" t="inlineStr">
        <is>
          <t>sbp_1</t>
        </is>
      </c>
      <c r="V1" s="3" t="inlineStr">
        <is>
          <t>dbp_1</t>
        </is>
      </c>
      <c r="W1" s="3" t="inlineStr">
        <is>
          <t>bp_incons</t>
        </is>
      </c>
      <c r="X1" s="3" t="inlineStr">
        <is>
          <t>sbp_c</t>
        </is>
      </c>
      <c r="Y1" s="3" t="inlineStr">
        <is>
          <t>dbp_c</t>
        </is>
      </c>
      <c r="Z1" s="3" t="inlineStr">
        <is>
          <t>preg_c</t>
        </is>
      </c>
      <c r="AA1" s="3" t="inlineStr">
        <is>
          <t>dob_c</t>
        </is>
      </c>
      <c r="AB1" s="3" t="inlineStr">
        <is>
          <t>age</t>
        </is>
      </c>
      <c r="AC1" s="3" t="inlineStr">
        <is>
          <t>in_analysis</t>
        </is>
      </c>
      <c r="AD1" s="3" t="inlineStr">
        <is>
          <t>bmi</t>
        </is>
      </c>
      <c r="AE1" s="3" t="inlineStr">
        <is>
          <t>age_group</t>
        </is>
      </c>
      <c r="AF1" s="3" t="inlineStr">
        <is>
          <t>n_tests</t>
        </is>
      </c>
      <c r="AG1" s="3" t="inlineStr">
        <is>
          <t>mean_ldl</t>
        </is>
      </c>
    </row>
    <row r="2">
      <c r="A2" t="n">
        <v>1</v>
      </c>
      <c r="B2" t="n">
        <v>1</v>
      </c>
      <c r="C2" t="inlineStr">
        <is>
          <t>M</t>
        </is>
      </c>
      <c r="D2" s="4" t="n">
        <v>32294</v>
      </c>
      <c r="E2" s="4" t="n">
        <v>45674</v>
      </c>
      <c r="F2" t="n">
        <v>166</v>
      </c>
      <c r="G2" t="n">
        <v>59</v>
      </c>
      <c r="H2" t="n">
        <v>156</v>
      </c>
      <c r="I2" t="n">
        <v>88</v>
      </c>
      <c r="J2" t="inlineStr">
        <is>
          <t>no</t>
        </is>
      </c>
      <c r="K2" t="inlineStr">
        <is>
          <t>yes</t>
        </is>
      </c>
      <c r="L2" t="n">
        <v>6.5</v>
      </c>
      <c r="M2">
        <f>A2&amp;"|"&amp;B2&amp;"|"&amp;C2&amp;"|"&amp;D2&amp;"|"&amp;E2&amp;"|"&amp;F2&amp;"|"&amp;G2&amp;"|"&amp;H2&amp;"|"&amp;I2&amp;"|"&amp;J2&amp;"|"&amp;K2&amp;"|"&amp;L2</f>
        <v/>
      </c>
      <c r="N2">
        <f>IF(COUNTIF(M$2:M2,M2)&gt;1,1,0)</f>
        <v/>
      </c>
      <c r="O2">
        <f>IF(AND(N2=0,COUNTIFS(B$2:B$43,B2,N$2:N$43,0,A$2:A$43,"&lt;"&amp;A2)&gt;0),1,0)</f>
        <v/>
      </c>
      <c r="P2">
        <f>IF(N2+O2=0,1,0)</f>
        <v/>
      </c>
      <c r="Q2">
        <f>UPPER(LEFT(TRIM(C2),1))</f>
        <v/>
      </c>
      <c r="R2">
        <f>IF(UPPER(LEFT(TRIM(J2),1))="Y","yes",IF(UPPER(LEFT(TRIM(J2),1))="N","no",""))</f>
        <v/>
      </c>
      <c r="S2">
        <f>IF(F2&lt;3,F2*100,IF(OR(F2&lt;120,F2&gt;220),"",F2))</f>
        <v/>
      </c>
      <c r="T2">
        <f>IF(OR(G2&lt;30,G2&gt;250),"",G2)</f>
        <v/>
      </c>
      <c r="U2">
        <f>IF(OR(H2=-99,H2&lt;70,H2&gt;260),"",H2)</f>
        <v/>
      </c>
      <c r="V2">
        <f>IF(OR(I2&lt;40,I2&gt;150),"",I2)</f>
        <v/>
      </c>
      <c r="W2">
        <f>IF(AND(U2&lt;&gt;"",V2&lt;&gt;""),IF(V2&gt;=U2,1,0),0)</f>
        <v/>
      </c>
      <c r="X2">
        <f>IF(W2=1,"",U2)</f>
        <v/>
      </c>
      <c r="Y2">
        <f>IF(W2=1,"",V2)</f>
        <v/>
      </c>
      <c r="Z2">
        <f>IF(Q2="M","",K2)</f>
        <v/>
      </c>
      <c r="AA2" s="4">
        <f>IF(D2&gt;E2,"",D2)</f>
        <v/>
      </c>
      <c r="AB2">
        <f>IF(AA2="","",DATEDIF(AA2,E2,"y"))</f>
        <v/>
      </c>
      <c r="AC2">
        <f>IF(AND(P2=1,OR(AB2="",AB2&gt;=18)),1,0)</f>
        <v/>
      </c>
      <c r="AD2">
        <f>IF(OR(S2="",T2=""),"",T2/(S2/100)^2)</f>
        <v/>
      </c>
      <c r="AE2">
        <f>IF(AB2="","",IF(AB2&lt;40,1,IF(AB2&lt;60,2,3)))</f>
        <v/>
      </c>
      <c r="AF2">
        <f>COUNTIF(labs!$A$2:$A$84,B2)</f>
        <v/>
      </c>
      <c r="AG2">
        <f>IF(AF2=0,"",AVERAGEIF(labs!$A$2:$A$84,B2,labs!$C$2:$C$84))</f>
        <v/>
      </c>
    </row>
    <row r="3">
      <c r="A3" t="n">
        <v>2</v>
      </c>
      <c r="B3" t="n">
        <v>2</v>
      </c>
      <c r="C3" t="inlineStr">
        <is>
          <t>m</t>
        </is>
      </c>
      <c r="D3" s="4" t="n">
        <v>24529</v>
      </c>
      <c r="E3" s="4" t="n">
        <v>45742</v>
      </c>
      <c r="F3" t="n">
        <v>182</v>
      </c>
      <c r="G3" t="n">
        <v>85.2</v>
      </c>
      <c r="H3" t="n">
        <v>154</v>
      </c>
      <c r="I3" t="n">
        <v>87</v>
      </c>
      <c r="J3" t="inlineStr">
        <is>
          <t>no</t>
        </is>
      </c>
      <c r="L3" t="n">
        <v>5.9</v>
      </c>
      <c r="M3">
        <f>A3&amp;"|"&amp;B3&amp;"|"&amp;C3&amp;"|"&amp;D3&amp;"|"&amp;E3&amp;"|"&amp;F3&amp;"|"&amp;G3&amp;"|"&amp;H3&amp;"|"&amp;I3&amp;"|"&amp;J3&amp;"|"&amp;K3&amp;"|"&amp;L3</f>
        <v/>
      </c>
      <c r="N3">
        <f>IF(COUNTIF(M$2:M3,M3)&gt;1,1,0)</f>
        <v/>
      </c>
      <c r="O3">
        <f>IF(AND(N3=0,COUNTIFS(B$2:B$43,B3,N$2:N$43,0,A$2:A$43,"&lt;"&amp;A3)&gt;0),1,0)</f>
        <v/>
      </c>
      <c r="P3">
        <f>IF(N3+O3=0,1,0)</f>
        <v/>
      </c>
      <c r="Q3">
        <f>UPPER(LEFT(TRIM(C3),1))</f>
        <v/>
      </c>
      <c r="R3">
        <f>IF(UPPER(LEFT(TRIM(J3),1))="Y","yes",IF(UPPER(LEFT(TRIM(J3),1))="N","no",""))</f>
        <v/>
      </c>
      <c r="S3">
        <f>IF(F3&lt;3,F3*100,IF(OR(F3&lt;120,F3&gt;220),"",F3))</f>
        <v/>
      </c>
      <c r="T3">
        <f>IF(OR(G3&lt;30,G3&gt;250),"",G3)</f>
        <v/>
      </c>
      <c r="U3">
        <f>IF(OR(H3=-99,H3&lt;70,H3&gt;260),"",H3)</f>
        <v/>
      </c>
      <c r="V3">
        <f>IF(OR(I3&lt;40,I3&gt;150),"",I3)</f>
        <v/>
      </c>
      <c r="W3">
        <f>IF(AND(U3&lt;&gt;"",V3&lt;&gt;""),IF(V3&gt;=U3,1,0),0)</f>
        <v/>
      </c>
      <c r="X3">
        <f>IF(W3=1,"",U3)</f>
        <v/>
      </c>
      <c r="Y3">
        <f>IF(W3=1,"",V3)</f>
        <v/>
      </c>
      <c r="Z3">
        <f>IF(Q3="M","",K3)</f>
        <v/>
      </c>
      <c r="AA3" s="4">
        <f>IF(D3&gt;E3,"",D3)</f>
        <v/>
      </c>
      <c r="AB3">
        <f>IF(AA3="","",DATEDIF(AA3,E3,"y"))</f>
        <v/>
      </c>
      <c r="AC3">
        <f>IF(AND(P3=1,OR(AB3="",AB3&gt;=18)),1,0)</f>
        <v/>
      </c>
      <c r="AD3">
        <f>IF(OR(S3="",T3=""),"",T3/(S3/100)^2)</f>
        <v/>
      </c>
      <c r="AE3">
        <f>IF(AB3="","",IF(AB3&lt;40,1,IF(AB3&lt;60,2,3)))</f>
        <v/>
      </c>
      <c r="AF3">
        <f>COUNTIF(labs!$A$2:$A$84,B3)</f>
        <v/>
      </c>
      <c r="AG3">
        <f>IF(AF3=0,"",AVERAGEIF(labs!$A$2:$A$84,B3,labs!$C$2:$C$84))</f>
        <v/>
      </c>
    </row>
    <row r="4">
      <c r="A4" t="n">
        <v>3</v>
      </c>
      <c r="B4" t="n">
        <v>3</v>
      </c>
      <c r="C4" t="inlineStr">
        <is>
          <t>F</t>
        </is>
      </c>
      <c r="D4" s="4" t="n">
        <v>39498</v>
      </c>
      <c r="E4" s="4" t="n">
        <v>45708</v>
      </c>
      <c r="F4" t="n">
        <v>153</v>
      </c>
      <c r="G4" t="n">
        <v>62.2</v>
      </c>
      <c r="H4" t="n">
        <v>145</v>
      </c>
      <c r="I4" t="n">
        <v>92</v>
      </c>
      <c r="J4" t="inlineStr">
        <is>
          <t>no</t>
        </is>
      </c>
      <c r="K4" t="inlineStr">
        <is>
          <t>no</t>
        </is>
      </c>
      <c r="L4" t="n">
        <v>7.6</v>
      </c>
      <c r="M4">
        <f>A4&amp;"|"&amp;B4&amp;"|"&amp;C4&amp;"|"&amp;D4&amp;"|"&amp;E4&amp;"|"&amp;F4&amp;"|"&amp;G4&amp;"|"&amp;H4&amp;"|"&amp;I4&amp;"|"&amp;J4&amp;"|"&amp;K4&amp;"|"&amp;L4</f>
        <v/>
      </c>
      <c r="N4">
        <f>IF(COUNTIF(M$2:M4,M4)&gt;1,1,0)</f>
        <v/>
      </c>
      <c r="O4">
        <f>IF(AND(N4=0,COUNTIFS(B$2:B$43,B4,N$2:N$43,0,A$2:A$43,"&lt;"&amp;A4)&gt;0),1,0)</f>
        <v/>
      </c>
      <c r="P4">
        <f>IF(N4+O4=0,1,0)</f>
        <v/>
      </c>
      <c r="Q4">
        <f>UPPER(LEFT(TRIM(C4),1))</f>
        <v/>
      </c>
      <c r="R4">
        <f>IF(UPPER(LEFT(TRIM(J4),1))="Y","yes",IF(UPPER(LEFT(TRIM(J4),1))="N","no",""))</f>
        <v/>
      </c>
      <c r="S4">
        <f>IF(F4&lt;3,F4*100,IF(OR(F4&lt;120,F4&gt;220),"",F4))</f>
        <v/>
      </c>
      <c r="T4">
        <f>IF(OR(G4&lt;30,G4&gt;250),"",G4)</f>
        <v/>
      </c>
      <c r="U4">
        <f>IF(OR(H4=-99,H4&lt;70,H4&gt;260),"",H4)</f>
        <v/>
      </c>
      <c r="V4">
        <f>IF(OR(I4&lt;40,I4&gt;150),"",I4)</f>
        <v/>
      </c>
      <c r="W4">
        <f>IF(AND(U4&lt;&gt;"",V4&lt;&gt;""),IF(V4&gt;=U4,1,0),0)</f>
        <v/>
      </c>
      <c r="X4">
        <f>IF(W4=1,"",U4)</f>
        <v/>
      </c>
      <c r="Y4">
        <f>IF(W4=1,"",V4)</f>
        <v/>
      </c>
      <c r="Z4">
        <f>IF(Q4="M","",K4)</f>
        <v/>
      </c>
      <c r="AA4" s="4">
        <f>IF(D4&gt;E4,"",D4)</f>
        <v/>
      </c>
      <c r="AB4">
        <f>IF(AA4="","",DATEDIF(AA4,E4,"y"))</f>
        <v/>
      </c>
      <c r="AC4">
        <f>IF(AND(P4=1,OR(AB4="",AB4&gt;=18)),1,0)</f>
        <v/>
      </c>
      <c r="AD4">
        <f>IF(OR(S4="",T4=""),"",T4/(S4/100)^2)</f>
        <v/>
      </c>
      <c r="AE4">
        <f>IF(AB4="","",IF(AB4&lt;40,1,IF(AB4&lt;60,2,3)))</f>
        <v/>
      </c>
      <c r="AF4">
        <f>COUNTIF(labs!$A$2:$A$84,B4)</f>
        <v/>
      </c>
      <c r="AG4">
        <f>IF(AF4=0,"",AVERAGEIF(labs!$A$2:$A$84,B4,labs!$C$2:$C$84))</f>
        <v/>
      </c>
    </row>
    <row r="5">
      <c r="A5" t="n">
        <v>4</v>
      </c>
      <c r="B5" t="n">
        <v>4</v>
      </c>
      <c r="C5" t="inlineStr">
        <is>
          <t xml:space="preserve"> m</t>
        </is>
      </c>
      <c r="D5" s="4" t="n">
        <v>34212</v>
      </c>
      <c r="E5" s="4" t="n">
        <v>45808</v>
      </c>
      <c r="F5" t="n">
        <v>172</v>
      </c>
      <c r="G5" t="n">
        <v>76.40000000000001</v>
      </c>
      <c r="H5" t="n">
        <v>152</v>
      </c>
      <c r="I5" t="n">
        <v>97</v>
      </c>
      <c r="J5" t="inlineStr">
        <is>
          <t>no</t>
        </is>
      </c>
      <c r="L5" t="n">
        <v>5.8</v>
      </c>
      <c r="M5">
        <f>A5&amp;"|"&amp;B5&amp;"|"&amp;C5&amp;"|"&amp;D5&amp;"|"&amp;E5&amp;"|"&amp;F5&amp;"|"&amp;G5&amp;"|"&amp;H5&amp;"|"&amp;I5&amp;"|"&amp;J5&amp;"|"&amp;K5&amp;"|"&amp;L5</f>
        <v/>
      </c>
      <c r="N5">
        <f>IF(COUNTIF(M$2:M5,M5)&gt;1,1,0)</f>
        <v/>
      </c>
      <c r="O5">
        <f>IF(AND(N5=0,COUNTIFS(B$2:B$43,B5,N$2:N$43,0,A$2:A$43,"&lt;"&amp;A5)&gt;0),1,0)</f>
        <v/>
      </c>
      <c r="P5">
        <f>IF(N5+O5=0,1,0)</f>
        <v/>
      </c>
      <c r="Q5">
        <f>UPPER(LEFT(TRIM(C5),1))</f>
        <v/>
      </c>
      <c r="R5">
        <f>IF(UPPER(LEFT(TRIM(J5),1))="Y","yes",IF(UPPER(LEFT(TRIM(J5),1))="N","no",""))</f>
        <v/>
      </c>
      <c r="S5">
        <f>IF(F5&lt;3,F5*100,IF(OR(F5&lt;120,F5&gt;220),"",F5))</f>
        <v/>
      </c>
      <c r="T5">
        <f>IF(OR(G5&lt;30,G5&gt;250),"",G5)</f>
        <v/>
      </c>
      <c r="U5">
        <f>IF(OR(H5=-99,H5&lt;70,H5&gt;260),"",H5)</f>
        <v/>
      </c>
      <c r="V5">
        <f>IF(OR(I5&lt;40,I5&gt;150),"",I5)</f>
        <v/>
      </c>
      <c r="W5">
        <f>IF(AND(U5&lt;&gt;"",V5&lt;&gt;""),IF(V5&gt;=U5,1,0),0)</f>
        <v/>
      </c>
      <c r="X5">
        <f>IF(W5=1,"",U5)</f>
        <v/>
      </c>
      <c r="Y5">
        <f>IF(W5=1,"",V5)</f>
        <v/>
      </c>
      <c r="Z5">
        <f>IF(Q5="M","",K5)</f>
        <v/>
      </c>
      <c r="AA5" s="4">
        <f>IF(D5&gt;E5,"",D5)</f>
        <v/>
      </c>
      <c r="AB5">
        <f>IF(AA5="","",DATEDIF(AA5,E5,"y"))</f>
        <v/>
      </c>
      <c r="AC5">
        <f>IF(AND(P5=1,OR(AB5="",AB5&gt;=18)),1,0)</f>
        <v/>
      </c>
      <c r="AD5">
        <f>IF(OR(S5="",T5=""),"",T5/(S5/100)^2)</f>
        <v/>
      </c>
      <c r="AE5">
        <f>IF(AB5="","",IF(AB5&lt;40,1,IF(AB5&lt;60,2,3)))</f>
        <v/>
      </c>
      <c r="AF5">
        <f>COUNTIF(labs!$A$2:$A$84,B5)</f>
        <v/>
      </c>
      <c r="AG5">
        <f>IF(AF5=0,"",AVERAGEIF(labs!$A$2:$A$84,B5,labs!$C$2:$C$84))</f>
        <v/>
      </c>
    </row>
    <row r="6">
      <c r="A6" t="n">
        <v>5</v>
      </c>
      <c r="B6" t="n">
        <v>5</v>
      </c>
      <c r="C6" t="inlineStr">
        <is>
          <t>F</t>
        </is>
      </c>
      <c r="D6" s="4" t="n">
        <v>17736</v>
      </c>
      <c r="E6" s="4" t="n">
        <v>45926</v>
      </c>
      <c r="F6" t="n">
        <v>1.68</v>
      </c>
      <c r="G6" t="n">
        <v>73.5</v>
      </c>
      <c r="H6" t="n">
        <v>138</v>
      </c>
      <c r="I6" t="n">
        <v>80</v>
      </c>
      <c r="J6" t="inlineStr">
        <is>
          <t>no</t>
        </is>
      </c>
      <c r="K6" t="inlineStr">
        <is>
          <t>no</t>
        </is>
      </c>
      <c r="L6" t="n">
        <v>7.2</v>
      </c>
      <c r="M6">
        <f>A6&amp;"|"&amp;B6&amp;"|"&amp;C6&amp;"|"&amp;D6&amp;"|"&amp;E6&amp;"|"&amp;F6&amp;"|"&amp;G6&amp;"|"&amp;H6&amp;"|"&amp;I6&amp;"|"&amp;J6&amp;"|"&amp;K6&amp;"|"&amp;L6</f>
        <v/>
      </c>
      <c r="N6">
        <f>IF(COUNTIF(M$2:M6,M6)&gt;1,1,0)</f>
        <v/>
      </c>
      <c r="O6">
        <f>IF(AND(N6=0,COUNTIFS(B$2:B$43,B6,N$2:N$43,0,A$2:A$43,"&lt;"&amp;A6)&gt;0),1,0)</f>
        <v/>
      </c>
      <c r="P6">
        <f>IF(N6+O6=0,1,0)</f>
        <v/>
      </c>
      <c r="Q6">
        <f>UPPER(LEFT(TRIM(C6),1))</f>
        <v/>
      </c>
      <c r="R6">
        <f>IF(UPPER(LEFT(TRIM(J6),1))="Y","yes",IF(UPPER(LEFT(TRIM(J6),1))="N","no",""))</f>
        <v/>
      </c>
      <c r="S6">
        <f>IF(F6&lt;3,F6*100,IF(OR(F6&lt;120,F6&gt;220),"",F6))</f>
        <v/>
      </c>
      <c r="T6">
        <f>IF(OR(G6&lt;30,G6&gt;250),"",G6)</f>
        <v/>
      </c>
      <c r="U6">
        <f>IF(OR(H6=-99,H6&lt;70,H6&gt;260),"",H6)</f>
        <v/>
      </c>
      <c r="V6">
        <f>IF(OR(I6&lt;40,I6&gt;150),"",I6)</f>
        <v/>
      </c>
      <c r="W6">
        <f>IF(AND(U6&lt;&gt;"",V6&lt;&gt;""),IF(V6&gt;=U6,1,0),0)</f>
        <v/>
      </c>
      <c r="X6">
        <f>IF(W6=1,"",U6)</f>
        <v/>
      </c>
      <c r="Y6">
        <f>IF(W6=1,"",V6)</f>
        <v/>
      </c>
      <c r="Z6">
        <f>IF(Q6="M","",K6)</f>
        <v/>
      </c>
      <c r="AA6" s="4">
        <f>IF(D6&gt;E6,"",D6)</f>
        <v/>
      </c>
      <c r="AB6">
        <f>IF(AA6="","",DATEDIF(AA6,E6,"y"))</f>
        <v/>
      </c>
      <c r="AC6">
        <f>IF(AND(P6=1,OR(AB6="",AB6&gt;=18)),1,0)</f>
        <v/>
      </c>
      <c r="AD6">
        <f>IF(OR(S6="",T6=""),"",T6/(S6/100)^2)</f>
        <v/>
      </c>
      <c r="AE6">
        <f>IF(AB6="","",IF(AB6&lt;40,1,IF(AB6&lt;60,2,3)))</f>
        <v/>
      </c>
      <c r="AF6">
        <f>COUNTIF(labs!$A$2:$A$84,B6)</f>
        <v/>
      </c>
      <c r="AG6">
        <f>IF(AF6=0,"",AVERAGEIF(labs!$A$2:$A$84,B6,labs!$C$2:$C$84))</f>
        <v/>
      </c>
    </row>
    <row r="7">
      <c r="A7" t="n">
        <v>6</v>
      </c>
      <c r="B7" t="n">
        <v>6</v>
      </c>
      <c r="C7" t="inlineStr">
        <is>
          <t>Male</t>
        </is>
      </c>
      <c r="D7" s="4" t="n">
        <v>20537</v>
      </c>
      <c r="E7" s="4" t="n">
        <v>45861</v>
      </c>
      <c r="F7" t="n">
        <v>175</v>
      </c>
      <c r="G7" t="n">
        <v>83.09999999999999</v>
      </c>
      <c r="H7" t="n">
        <v>168</v>
      </c>
      <c r="I7" t="n">
        <v>101</v>
      </c>
      <c r="J7" t="inlineStr">
        <is>
          <t>no</t>
        </is>
      </c>
      <c r="L7" t="n">
        <v>6.3</v>
      </c>
      <c r="M7">
        <f>A7&amp;"|"&amp;B7&amp;"|"&amp;C7&amp;"|"&amp;D7&amp;"|"&amp;E7&amp;"|"&amp;F7&amp;"|"&amp;G7&amp;"|"&amp;H7&amp;"|"&amp;I7&amp;"|"&amp;J7&amp;"|"&amp;K7&amp;"|"&amp;L7</f>
        <v/>
      </c>
      <c r="N7">
        <f>IF(COUNTIF(M$2:M7,M7)&gt;1,1,0)</f>
        <v/>
      </c>
      <c r="O7">
        <f>IF(AND(N7=0,COUNTIFS(B$2:B$43,B7,N$2:N$43,0,A$2:A$43,"&lt;"&amp;A7)&gt;0),1,0)</f>
        <v/>
      </c>
      <c r="P7">
        <f>IF(N7+O7=0,1,0)</f>
        <v/>
      </c>
      <c r="Q7">
        <f>UPPER(LEFT(TRIM(C7),1))</f>
        <v/>
      </c>
      <c r="R7">
        <f>IF(UPPER(LEFT(TRIM(J7),1))="Y","yes",IF(UPPER(LEFT(TRIM(J7),1))="N","no",""))</f>
        <v/>
      </c>
      <c r="S7">
        <f>IF(F7&lt;3,F7*100,IF(OR(F7&lt;120,F7&gt;220),"",F7))</f>
        <v/>
      </c>
      <c r="T7">
        <f>IF(OR(G7&lt;30,G7&gt;250),"",G7)</f>
        <v/>
      </c>
      <c r="U7">
        <f>IF(OR(H7=-99,H7&lt;70,H7&gt;260),"",H7)</f>
        <v/>
      </c>
      <c r="V7">
        <f>IF(OR(I7&lt;40,I7&gt;150),"",I7)</f>
        <v/>
      </c>
      <c r="W7">
        <f>IF(AND(U7&lt;&gt;"",V7&lt;&gt;""),IF(V7&gt;=U7,1,0),0)</f>
        <v/>
      </c>
      <c r="X7">
        <f>IF(W7=1,"",U7)</f>
        <v/>
      </c>
      <c r="Y7">
        <f>IF(W7=1,"",V7)</f>
        <v/>
      </c>
      <c r="Z7">
        <f>IF(Q7="M","",K7)</f>
        <v/>
      </c>
      <c r="AA7" s="4">
        <f>IF(D7&gt;E7,"",D7)</f>
        <v/>
      </c>
      <c r="AB7">
        <f>IF(AA7="","",DATEDIF(AA7,E7,"y"))</f>
        <v/>
      </c>
      <c r="AC7">
        <f>IF(AND(P7=1,OR(AB7="",AB7&gt;=18)),1,0)</f>
        <v/>
      </c>
      <c r="AD7">
        <f>IF(OR(S7="",T7=""),"",T7/(S7/100)^2)</f>
        <v/>
      </c>
      <c r="AE7">
        <f>IF(AB7="","",IF(AB7&lt;40,1,IF(AB7&lt;60,2,3)))</f>
        <v/>
      </c>
      <c r="AF7">
        <f>COUNTIF(labs!$A$2:$A$84,B7)</f>
        <v/>
      </c>
      <c r="AG7">
        <f>IF(AF7=0,"",AVERAGEIF(labs!$A$2:$A$84,B7,labs!$C$2:$C$84))</f>
        <v/>
      </c>
    </row>
    <row r="8">
      <c r="A8" t="n">
        <v>7</v>
      </c>
      <c r="B8" t="n">
        <v>7</v>
      </c>
      <c r="C8" t="inlineStr">
        <is>
          <t>male</t>
        </is>
      </c>
      <c r="D8" s="4" t="n">
        <v>20528</v>
      </c>
      <c r="E8" s="4" t="n">
        <v>45946</v>
      </c>
      <c r="F8" t="n">
        <v>168</v>
      </c>
      <c r="G8" t="n">
        <v>57.1</v>
      </c>
      <c r="H8" t="n">
        <v>141</v>
      </c>
      <c r="I8" t="n">
        <v>87</v>
      </c>
      <c r="J8" t="inlineStr">
        <is>
          <t>no</t>
        </is>
      </c>
      <c r="M8">
        <f>A8&amp;"|"&amp;B8&amp;"|"&amp;C8&amp;"|"&amp;D8&amp;"|"&amp;E8&amp;"|"&amp;F8&amp;"|"&amp;G8&amp;"|"&amp;H8&amp;"|"&amp;I8&amp;"|"&amp;J8&amp;"|"&amp;K8&amp;"|"&amp;L8</f>
        <v/>
      </c>
      <c r="N8">
        <f>IF(COUNTIF(M$2:M8,M8)&gt;1,1,0)</f>
        <v/>
      </c>
      <c r="O8">
        <f>IF(AND(N8=0,COUNTIFS(B$2:B$43,B8,N$2:N$43,0,A$2:A$43,"&lt;"&amp;A8)&gt;0),1,0)</f>
        <v/>
      </c>
      <c r="P8">
        <f>IF(N8+O8=0,1,0)</f>
        <v/>
      </c>
      <c r="Q8">
        <f>UPPER(LEFT(TRIM(C8),1))</f>
        <v/>
      </c>
      <c r="R8">
        <f>IF(UPPER(LEFT(TRIM(J8),1))="Y","yes",IF(UPPER(LEFT(TRIM(J8),1))="N","no",""))</f>
        <v/>
      </c>
      <c r="S8">
        <f>IF(F8&lt;3,F8*100,IF(OR(F8&lt;120,F8&gt;220),"",F8))</f>
        <v/>
      </c>
      <c r="T8">
        <f>IF(OR(G8&lt;30,G8&gt;250),"",G8)</f>
        <v/>
      </c>
      <c r="U8">
        <f>IF(OR(H8=-99,H8&lt;70,H8&gt;260),"",H8)</f>
        <v/>
      </c>
      <c r="V8">
        <f>IF(OR(I8&lt;40,I8&gt;150),"",I8)</f>
        <v/>
      </c>
      <c r="W8">
        <f>IF(AND(U8&lt;&gt;"",V8&lt;&gt;""),IF(V8&gt;=U8,1,0),0)</f>
        <v/>
      </c>
      <c r="X8">
        <f>IF(W8=1,"",U8)</f>
        <v/>
      </c>
      <c r="Y8">
        <f>IF(W8=1,"",V8)</f>
        <v/>
      </c>
      <c r="Z8">
        <f>IF(Q8="M","",K8)</f>
        <v/>
      </c>
      <c r="AA8" s="4">
        <f>IF(D8&gt;E8,"",D8)</f>
        <v/>
      </c>
      <c r="AB8">
        <f>IF(AA8="","",DATEDIF(AA8,E8,"y"))</f>
        <v/>
      </c>
      <c r="AC8">
        <f>IF(AND(P8=1,OR(AB8="",AB8&gt;=18)),1,0)</f>
        <v/>
      </c>
      <c r="AD8">
        <f>IF(OR(S8="",T8=""),"",T8/(S8/100)^2)</f>
        <v/>
      </c>
      <c r="AE8">
        <f>IF(AB8="","",IF(AB8&lt;40,1,IF(AB8&lt;60,2,3)))</f>
        <v/>
      </c>
      <c r="AF8">
        <f>COUNTIF(labs!$A$2:$A$84,B8)</f>
        <v/>
      </c>
      <c r="AG8">
        <f>IF(AF8=0,"",AVERAGEIF(labs!$A$2:$A$84,B8,labs!$C$2:$C$84))</f>
        <v/>
      </c>
    </row>
    <row r="9">
      <c r="A9" t="n">
        <v>8</v>
      </c>
      <c r="B9" t="n">
        <v>8</v>
      </c>
      <c r="C9" t="inlineStr">
        <is>
          <t>Female</t>
        </is>
      </c>
      <c r="D9" s="4" t="n">
        <v>27351</v>
      </c>
      <c r="E9" s="4" t="n">
        <v>45805</v>
      </c>
      <c r="F9" t="n">
        <v>160</v>
      </c>
      <c r="G9" t="n">
        <v>42.8</v>
      </c>
      <c r="H9" t="n">
        <v>150</v>
      </c>
      <c r="I9" t="n">
        <v>85</v>
      </c>
      <c r="J9" t="inlineStr">
        <is>
          <t>no</t>
        </is>
      </c>
      <c r="K9" t="inlineStr">
        <is>
          <t>no</t>
        </is>
      </c>
      <c r="L9" t="n">
        <v>9.199999999999999</v>
      </c>
      <c r="M9">
        <f>A9&amp;"|"&amp;B9&amp;"|"&amp;C9&amp;"|"&amp;D9&amp;"|"&amp;E9&amp;"|"&amp;F9&amp;"|"&amp;G9&amp;"|"&amp;H9&amp;"|"&amp;I9&amp;"|"&amp;J9&amp;"|"&amp;K9&amp;"|"&amp;L9</f>
        <v/>
      </c>
      <c r="N9">
        <f>IF(COUNTIF(M$2:M9,M9)&gt;1,1,0)</f>
        <v/>
      </c>
      <c r="O9">
        <f>IF(AND(N9=0,COUNTIFS(B$2:B$43,B9,N$2:N$43,0,A$2:A$43,"&lt;"&amp;A9)&gt;0),1,0)</f>
        <v/>
      </c>
      <c r="P9">
        <f>IF(N9+O9=0,1,0)</f>
        <v/>
      </c>
      <c r="Q9">
        <f>UPPER(LEFT(TRIM(C9),1))</f>
        <v/>
      </c>
      <c r="R9">
        <f>IF(UPPER(LEFT(TRIM(J9),1))="Y","yes",IF(UPPER(LEFT(TRIM(J9),1))="N","no",""))</f>
        <v/>
      </c>
      <c r="S9">
        <f>IF(F9&lt;3,F9*100,IF(OR(F9&lt;120,F9&gt;220),"",F9))</f>
        <v/>
      </c>
      <c r="T9">
        <f>IF(OR(G9&lt;30,G9&gt;250),"",G9)</f>
        <v/>
      </c>
      <c r="U9">
        <f>IF(OR(H9=-99,H9&lt;70,H9&gt;260),"",H9)</f>
        <v/>
      </c>
      <c r="V9">
        <f>IF(OR(I9&lt;40,I9&gt;150),"",I9)</f>
        <v/>
      </c>
      <c r="W9">
        <f>IF(AND(U9&lt;&gt;"",V9&lt;&gt;""),IF(V9&gt;=U9,1,0),0)</f>
        <v/>
      </c>
      <c r="X9">
        <f>IF(W9=1,"",U9)</f>
        <v/>
      </c>
      <c r="Y9">
        <f>IF(W9=1,"",V9)</f>
        <v/>
      </c>
      <c r="Z9">
        <f>IF(Q9="M","",K9)</f>
        <v/>
      </c>
      <c r="AA9" s="4">
        <f>IF(D9&gt;E9,"",D9)</f>
        <v/>
      </c>
      <c r="AB9">
        <f>IF(AA9="","",DATEDIF(AA9,E9,"y"))</f>
        <v/>
      </c>
      <c r="AC9">
        <f>IF(AND(P9=1,OR(AB9="",AB9&gt;=18)),1,0)</f>
        <v/>
      </c>
      <c r="AD9">
        <f>IF(OR(S9="",T9=""),"",T9/(S9/100)^2)</f>
        <v/>
      </c>
      <c r="AE9">
        <f>IF(AB9="","",IF(AB9&lt;40,1,IF(AB9&lt;60,2,3)))</f>
        <v/>
      </c>
      <c r="AF9">
        <f>COUNTIF(labs!$A$2:$A$84,B9)</f>
        <v/>
      </c>
      <c r="AG9">
        <f>IF(AF9=0,"",AVERAGEIF(labs!$A$2:$A$84,B9,labs!$C$2:$C$84))</f>
        <v/>
      </c>
    </row>
    <row r="10">
      <c r="A10" t="n">
        <v>9</v>
      </c>
      <c r="B10" t="n">
        <v>9</v>
      </c>
      <c r="C10" t="inlineStr">
        <is>
          <t>M</t>
        </is>
      </c>
      <c r="D10" s="4" t="n">
        <v>28101</v>
      </c>
      <c r="E10" s="4" t="n">
        <v>45772</v>
      </c>
      <c r="F10" t="n">
        <v>176</v>
      </c>
      <c r="G10" t="n">
        <v>7.8</v>
      </c>
      <c r="H10" t="n">
        <v>133</v>
      </c>
      <c r="I10" t="n">
        <v>82</v>
      </c>
      <c r="J10" t="inlineStr">
        <is>
          <t>No</t>
        </is>
      </c>
      <c r="L10" t="n">
        <v>7.2</v>
      </c>
      <c r="M10">
        <f>A10&amp;"|"&amp;B10&amp;"|"&amp;C10&amp;"|"&amp;D10&amp;"|"&amp;E10&amp;"|"&amp;F10&amp;"|"&amp;G10&amp;"|"&amp;H10&amp;"|"&amp;I10&amp;"|"&amp;J10&amp;"|"&amp;K10&amp;"|"&amp;L10</f>
        <v/>
      </c>
      <c r="N10">
        <f>IF(COUNTIF(M$2:M10,M10)&gt;1,1,0)</f>
        <v/>
      </c>
      <c r="O10">
        <f>IF(AND(N10=0,COUNTIFS(B$2:B$43,B10,N$2:N$43,0,A$2:A$43,"&lt;"&amp;A10)&gt;0),1,0)</f>
        <v/>
      </c>
      <c r="P10">
        <f>IF(N10+O10=0,1,0)</f>
        <v/>
      </c>
      <c r="Q10">
        <f>UPPER(LEFT(TRIM(C10),1))</f>
        <v/>
      </c>
      <c r="R10">
        <f>IF(UPPER(LEFT(TRIM(J10),1))="Y","yes",IF(UPPER(LEFT(TRIM(J10),1))="N","no",""))</f>
        <v/>
      </c>
      <c r="S10">
        <f>IF(F10&lt;3,F10*100,IF(OR(F10&lt;120,F10&gt;220),"",F10))</f>
        <v/>
      </c>
      <c r="T10">
        <f>IF(OR(G10&lt;30,G10&gt;250),"",G10)</f>
        <v/>
      </c>
      <c r="U10">
        <f>IF(OR(H10=-99,H10&lt;70,H10&gt;260),"",H10)</f>
        <v/>
      </c>
      <c r="V10">
        <f>IF(OR(I10&lt;40,I10&gt;150),"",I10)</f>
        <v/>
      </c>
      <c r="W10">
        <f>IF(AND(U10&lt;&gt;"",V10&lt;&gt;""),IF(V10&gt;=U10,1,0),0)</f>
        <v/>
      </c>
      <c r="X10">
        <f>IF(W10=1,"",U10)</f>
        <v/>
      </c>
      <c r="Y10">
        <f>IF(W10=1,"",V10)</f>
        <v/>
      </c>
      <c r="Z10">
        <f>IF(Q10="M","",K10)</f>
        <v/>
      </c>
      <c r="AA10" s="4">
        <f>IF(D10&gt;E10,"",D10)</f>
        <v/>
      </c>
      <c r="AB10">
        <f>IF(AA10="","",DATEDIF(AA10,E10,"y"))</f>
        <v/>
      </c>
      <c r="AC10">
        <f>IF(AND(P10=1,OR(AB10="",AB10&gt;=18)),1,0)</f>
        <v/>
      </c>
      <c r="AD10">
        <f>IF(OR(S10="",T10=""),"",T10/(S10/100)^2)</f>
        <v/>
      </c>
      <c r="AE10">
        <f>IF(AB10="","",IF(AB10&lt;40,1,IF(AB10&lt;60,2,3)))</f>
        <v/>
      </c>
      <c r="AF10">
        <f>COUNTIF(labs!$A$2:$A$84,B10)</f>
        <v/>
      </c>
      <c r="AG10">
        <f>IF(AF10=0,"",AVERAGEIF(labs!$A$2:$A$84,B10,labs!$C$2:$C$84))</f>
        <v/>
      </c>
    </row>
    <row r="11">
      <c r="A11" t="n">
        <v>10</v>
      </c>
      <c r="B11" t="n">
        <v>10</v>
      </c>
      <c r="C11" t="inlineStr">
        <is>
          <t>f</t>
        </is>
      </c>
      <c r="D11" s="4" t="n">
        <v>19287</v>
      </c>
      <c r="E11" s="4" t="n">
        <v>45899</v>
      </c>
      <c r="F11" t="n">
        <v>158</v>
      </c>
      <c r="G11" t="n">
        <v>71.3</v>
      </c>
      <c r="H11" t="n">
        <v>114</v>
      </c>
      <c r="I11" t="n">
        <v>77</v>
      </c>
      <c r="J11" t="inlineStr">
        <is>
          <t>no</t>
        </is>
      </c>
      <c r="K11" t="inlineStr">
        <is>
          <t>no</t>
        </is>
      </c>
      <c r="L11" t="n">
        <v>7.4</v>
      </c>
      <c r="M11">
        <f>A11&amp;"|"&amp;B11&amp;"|"&amp;C11&amp;"|"&amp;D11&amp;"|"&amp;E11&amp;"|"&amp;F11&amp;"|"&amp;G11&amp;"|"&amp;H11&amp;"|"&amp;I11&amp;"|"&amp;J11&amp;"|"&amp;K11&amp;"|"&amp;L11</f>
        <v/>
      </c>
      <c r="N11">
        <f>IF(COUNTIF(M$2:M11,M11)&gt;1,1,0)</f>
        <v/>
      </c>
      <c r="O11">
        <f>IF(AND(N11=0,COUNTIFS(B$2:B$43,B11,N$2:N$43,0,A$2:A$43,"&lt;"&amp;A11)&gt;0),1,0)</f>
        <v/>
      </c>
      <c r="P11">
        <f>IF(N11+O11=0,1,0)</f>
        <v/>
      </c>
      <c r="Q11">
        <f>UPPER(LEFT(TRIM(C11),1))</f>
        <v/>
      </c>
      <c r="R11">
        <f>IF(UPPER(LEFT(TRIM(J11),1))="Y","yes",IF(UPPER(LEFT(TRIM(J11),1))="N","no",""))</f>
        <v/>
      </c>
      <c r="S11">
        <f>IF(F11&lt;3,F11*100,IF(OR(F11&lt;120,F11&gt;220),"",F11))</f>
        <v/>
      </c>
      <c r="T11">
        <f>IF(OR(G11&lt;30,G11&gt;250),"",G11)</f>
        <v/>
      </c>
      <c r="U11">
        <f>IF(OR(H11=-99,H11&lt;70,H11&gt;260),"",H11)</f>
        <v/>
      </c>
      <c r="V11">
        <f>IF(OR(I11&lt;40,I11&gt;150),"",I11)</f>
        <v/>
      </c>
      <c r="W11">
        <f>IF(AND(U11&lt;&gt;"",V11&lt;&gt;""),IF(V11&gt;=U11,1,0),0)</f>
        <v/>
      </c>
      <c r="X11">
        <f>IF(W11=1,"",U11)</f>
        <v/>
      </c>
      <c r="Y11">
        <f>IF(W11=1,"",V11)</f>
        <v/>
      </c>
      <c r="Z11">
        <f>IF(Q11="M","",K11)</f>
        <v/>
      </c>
      <c r="AA11" s="4">
        <f>IF(D11&gt;E11,"",D11)</f>
        <v/>
      </c>
      <c r="AB11">
        <f>IF(AA11="","",DATEDIF(AA11,E11,"y"))</f>
        <v/>
      </c>
      <c r="AC11">
        <f>IF(AND(P11=1,OR(AB11="",AB11&gt;=18)),1,0)</f>
        <v/>
      </c>
      <c r="AD11">
        <f>IF(OR(S11="",T11=""),"",T11/(S11/100)^2)</f>
        <v/>
      </c>
      <c r="AE11">
        <f>IF(AB11="","",IF(AB11&lt;40,1,IF(AB11&lt;60,2,3)))</f>
        <v/>
      </c>
      <c r="AF11">
        <f>COUNTIF(labs!$A$2:$A$84,B11)</f>
        <v/>
      </c>
      <c r="AG11">
        <f>IF(AF11=0,"",AVERAGEIF(labs!$A$2:$A$84,B11,labs!$C$2:$C$84))</f>
        <v/>
      </c>
    </row>
    <row r="12">
      <c r="A12" t="n">
        <v>11</v>
      </c>
      <c r="B12" t="n">
        <v>11</v>
      </c>
      <c r="C12" t="inlineStr">
        <is>
          <t>M</t>
        </is>
      </c>
      <c r="D12" s="4" t="n">
        <v>34585</v>
      </c>
      <c r="E12" s="4" t="n">
        <v>45867</v>
      </c>
      <c r="F12" t="n">
        <v>190</v>
      </c>
      <c r="G12" t="n">
        <v>71.40000000000001</v>
      </c>
      <c r="H12" t="n">
        <v>148</v>
      </c>
      <c r="I12" t="n">
        <v>84</v>
      </c>
      <c r="J12" t="inlineStr">
        <is>
          <t>no</t>
        </is>
      </c>
      <c r="L12" t="n">
        <v>8.199999999999999</v>
      </c>
      <c r="M12">
        <f>A12&amp;"|"&amp;B12&amp;"|"&amp;C12&amp;"|"&amp;D12&amp;"|"&amp;E12&amp;"|"&amp;F12&amp;"|"&amp;G12&amp;"|"&amp;H12&amp;"|"&amp;I12&amp;"|"&amp;J12&amp;"|"&amp;K12&amp;"|"&amp;L12</f>
        <v/>
      </c>
      <c r="N12">
        <f>IF(COUNTIF(M$2:M12,M12)&gt;1,1,0)</f>
        <v/>
      </c>
      <c r="O12">
        <f>IF(AND(N12=0,COUNTIFS(B$2:B$43,B12,N$2:N$43,0,A$2:A$43,"&lt;"&amp;A12)&gt;0),1,0)</f>
        <v/>
      </c>
      <c r="P12">
        <f>IF(N12+O12=0,1,0)</f>
        <v/>
      </c>
      <c r="Q12">
        <f>UPPER(LEFT(TRIM(C12),1))</f>
        <v/>
      </c>
      <c r="R12">
        <f>IF(UPPER(LEFT(TRIM(J12),1))="Y","yes",IF(UPPER(LEFT(TRIM(J12),1))="N","no",""))</f>
        <v/>
      </c>
      <c r="S12">
        <f>IF(F12&lt;3,F12*100,IF(OR(F12&lt;120,F12&gt;220),"",F12))</f>
        <v/>
      </c>
      <c r="T12">
        <f>IF(OR(G12&lt;30,G12&gt;250),"",G12)</f>
        <v/>
      </c>
      <c r="U12">
        <f>IF(OR(H12=-99,H12&lt;70,H12&gt;260),"",H12)</f>
        <v/>
      </c>
      <c r="V12">
        <f>IF(OR(I12&lt;40,I12&gt;150),"",I12)</f>
        <v/>
      </c>
      <c r="W12">
        <f>IF(AND(U12&lt;&gt;"",V12&lt;&gt;""),IF(V12&gt;=U12,1,0),0)</f>
        <v/>
      </c>
      <c r="X12">
        <f>IF(W12=1,"",U12)</f>
        <v/>
      </c>
      <c r="Y12">
        <f>IF(W12=1,"",V12)</f>
        <v/>
      </c>
      <c r="Z12">
        <f>IF(Q12="M","",K12)</f>
        <v/>
      </c>
      <c r="AA12" s="4">
        <f>IF(D12&gt;E12,"",D12)</f>
        <v/>
      </c>
      <c r="AB12">
        <f>IF(AA12="","",DATEDIF(AA12,E12,"y"))</f>
        <v/>
      </c>
      <c r="AC12">
        <f>IF(AND(P12=1,OR(AB12="",AB12&gt;=18)),1,0)</f>
        <v/>
      </c>
      <c r="AD12">
        <f>IF(OR(S12="",T12=""),"",T12/(S12/100)^2)</f>
        <v/>
      </c>
      <c r="AE12">
        <f>IF(AB12="","",IF(AB12&lt;40,1,IF(AB12&lt;60,2,3)))</f>
        <v/>
      </c>
      <c r="AF12">
        <f>COUNTIF(labs!$A$2:$A$84,B12)</f>
        <v/>
      </c>
      <c r="AG12">
        <f>IF(AF12=0,"",AVERAGEIF(labs!$A$2:$A$84,B12,labs!$C$2:$C$84))</f>
        <v/>
      </c>
    </row>
    <row r="13">
      <c r="A13" t="n">
        <v>12</v>
      </c>
      <c r="B13" t="n">
        <v>12</v>
      </c>
      <c r="C13" t="inlineStr">
        <is>
          <t xml:space="preserve">F </t>
        </is>
      </c>
      <c r="D13" s="4" t="n">
        <v>27665</v>
      </c>
      <c r="E13" s="4" t="n">
        <v>45818</v>
      </c>
      <c r="F13" t="n">
        <v>163</v>
      </c>
      <c r="G13" t="n">
        <v>70.5</v>
      </c>
      <c r="H13" t="n">
        <v>159</v>
      </c>
      <c r="I13" t="n">
        <v>98</v>
      </c>
      <c r="J13" t="inlineStr">
        <is>
          <t>no</t>
        </is>
      </c>
      <c r="K13" t="inlineStr">
        <is>
          <t>no</t>
        </is>
      </c>
      <c r="L13" t="n">
        <v>8.1</v>
      </c>
      <c r="M13">
        <f>A13&amp;"|"&amp;B13&amp;"|"&amp;C13&amp;"|"&amp;D13&amp;"|"&amp;E13&amp;"|"&amp;F13&amp;"|"&amp;G13&amp;"|"&amp;H13&amp;"|"&amp;I13&amp;"|"&amp;J13&amp;"|"&amp;K13&amp;"|"&amp;L13</f>
        <v/>
      </c>
      <c r="N13">
        <f>IF(COUNTIF(M$2:M13,M13)&gt;1,1,0)</f>
        <v/>
      </c>
      <c r="O13">
        <f>IF(AND(N13=0,COUNTIFS(B$2:B$43,B13,N$2:N$43,0,A$2:A$43,"&lt;"&amp;A13)&gt;0),1,0)</f>
        <v/>
      </c>
      <c r="P13">
        <f>IF(N13+O13=0,1,0)</f>
        <v/>
      </c>
      <c r="Q13">
        <f>UPPER(LEFT(TRIM(C13),1))</f>
        <v/>
      </c>
      <c r="R13">
        <f>IF(UPPER(LEFT(TRIM(J13),1))="Y","yes",IF(UPPER(LEFT(TRIM(J13),1))="N","no",""))</f>
        <v/>
      </c>
      <c r="S13">
        <f>IF(F13&lt;3,F13*100,IF(OR(F13&lt;120,F13&gt;220),"",F13))</f>
        <v/>
      </c>
      <c r="T13">
        <f>IF(OR(G13&lt;30,G13&gt;250),"",G13)</f>
        <v/>
      </c>
      <c r="U13">
        <f>IF(OR(H13=-99,H13&lt;70,H13&gt;260),"",H13)</f>
        <v/>
      </c>
      <c r="V13">
        <f>IF(OR(I13&lt;40,I13&gt;150),"",I13)</f>
        <v/>
      </c>
      <c r="W13">
        <f>IF(AND(U13&lt;&gt;"",V13&lt;&gt;""),IF(V13&gt;=U13,1,0),0)</f>
        <v/>
      </c>
      <c r="X13">
        <f>IF(W13=1,"",U13)</f>
        <v/>
      </c>
      <c r="Y13">
        <f>IF(W13=1,"",V13)</f>
        <v/>
      </c>
      <c r="Z13">
        <f>IF(Q13="M","",K13)</f>
        <v/>
      </c>
      <c r="AA13" s="4">
        <f>IF(D13&gt;E13,"",D13)</f>
        <v/>
      </c>
      <c r="AB13">
        <f>IF(AA13="","",DATEDIF(AA13,E13,"y"))</f>
        <v/>
      </c>
      <c r="AC13">
        <f>IF(AND(P13=1,OR(AB13="",AB13&gt;=18)),1,0)</f>
        <v/>
      </c>
      <c r="AD13">
        <f>IF(OR(S13="",T13=""),"",T13/(S13/100)^2)</f>
        <v/>
      </c>
      <c r="AE13">
        <f>IF(AB13="","",IF(AB13&lt;40,1,IF(AB13&lt;60,2,3)))</f>
        <v/>
      </c>
      <c r="AF13">
        <f>COUNTIF(labs!$A$2:$A$84,B13)</f>
        <v/>
      </c>
      <c r="AG13">
        <f>IF(AF13=0,"",AVERAGEIF(labs!$A$2:$A$84,B13,labs!$C$2:$C$84))</f>
        <v/>
      </c>
    </row>
    <row r="14">
      <c r="A14" t="n">
        <v>13</v>
      </c>
      <c r="B14" t="n">
        <v>13</v>
      </c>
      <c r="C14" t="inlineStr">
        <is>
          <t>M</t>
        </is>
      </c>
      <c r="D14" s="4" t="n">
        <v>32839</v>
      </c>
      <c r="E14" s="4" t="n">
        <v>45960</v>
      </c>
      <c r="F14" t="n">
        <v>173</v>
      </c>
      <c r="G14" t="n">
        <v>97.8</v>
      </c>
      <c r="H14" t="n">
        <v>115</v>
      </c>
      <c r="I14" t="n">
        <v>67</v>
      </c>
      <c r="J14" t="inlineStr">
        <is>
          <t>N</t>
        </is>
      </c>
      <c r="L14" t="n">
        <v>7</v>
      </c>
      <c r="M14">
        <f>A14&amp;"|"&amp;B14&amp;"|"&amp;C14&amp;"|"&amp;D14&amp;"|"&amp;E14&amp;"|"&amp;F14&amp;"|"&amp;G14&amp;"|"&amp;H14&amp;"|"&amp;I14&amp;"|"&amp;J14&amp;"|"&amp;K14&amp;"|"&amp;L14</f>
        <v/>
      </c>
      <c r="N14">
        <f>IF(COUNTIF(M$2:M14,M14)&gt;1,1,0)</f>
        <v/>
      </c>
      <c r="O14">
        <f>IF(AND(N14=0,COUNTIFS(B$2:B$43,B14,N$2:N$43,0,A$2:A$43,"&lt;"&amp;A14)&gt;0),1,0)</f>
        <v/>
      </c>
      <c r="P14">
        <f>IF(N14+O14=0,1,0)</f>
        <v/>
      </c>
      <c r="Q14">
        <f>UPPER(LEFT(TRIM(C14),1))</f>
        <v/>
      </c>
      <c r="R14">
        <f>IF(UPPER(LEFT(TRIM(J14),1))="Y","yes",IF(UPPER(LEFT(TRIM(J14),1))="N","no",""))</f>
        <v/>
      </c>
      <c r="S14">
        <f>IF(F14&lt;3,F14*100,IF(OR(F14&lt;120,F14&gt;220),"",F14))</f>
        <v/>
      </c>
      <c r="T14">
        <f>IF(OR(G14&lt;30,G14&gt;250),"",G14)</f>
        <v/>
      </c>
      <c r="U14">
        <f>IF(OR(H14=-99,H14&lt;70,H14&gt;260),"",H14)</f>
        <v/>
      </c>
      <c r="V14">
        <f>IF(OR(I14&lt;40,I14&gt;150),"",I14)</f>
        <v/>
      </c>
      <c r="W14">
        <f>IF(AND(U14&lt;&gt;"",V14&lt;&gt;""),IF(V14&gt;=U14,1,0),0)</f>
        <v/>
      </c>
      <c r="X14">
        <f>IF(W14=1,"",U14)</f>
        <v/>
      </c>
      <c r="Y14">
        <f>IF(W14=1,"",V14)</f>
        <v/>
      </c>
      <c r="Z14">
        <f>IF(Q14="M","",K14)</f>
        <v/>
      </c>
      <c r="AA14" s="4">
        <f>IF(D14&gt;E14,"",D14)</f>
        <v/>
      </c>
      <c r="AB14">
        <f>IF(AA14="","",DATEDIF(AA14,E14,"y"))</f>
        <v/>
      </c>
      <c r="AC14">
        <f>IF(AND(P14=1,OR(AB14="",AB14&gt;=18)),1,0)</f>
        <v/>
      </c>
      <c r="AD14">
        <f>IF(OR(S14="",T14=""),"",T14/(S14/100)^2)</f>
        <v/>
      </c>
      <c r="AE14">
        <f>IF(AB14="","",IF(AB14&lt;40,1,IF(AB14&lt;60,2,3)))</f>
        <v/>
      </c>
      <c r="AF14">
        <f>COUNTIF(labs!$A$2:$A$84,B14)</f>
        <v/>
      </c>
      <c r="AG14">
        <f>IF(AF14=0,"",AVERAGEIF(labs!$A$2:$A$84,B14,labs!$C$2:$C$84))</f>
        <v/>
      </c>
    </row>
    <row r="15">
      <c r="A15" t="n">
        <v>14</v>
      </c>
      <c r="B15" t="n">
        <v>14</v>
      </c>
      <c r="C15" t="inlineStr">
        <is>
          <t>M</t>
        </is>
      </c>
      <c r="D15" s="4" t="n">
        <v>26441</v>
      </c>
      <c r="E15" s="4" t="n">
        <v>45782</v>
      </c>
      <c r="F15" t="n">
        <v>180</v>
      </c>
      <c r="G15" t="n">
        <v>95.3</v>
      </c>
      <c r="H15" t="n">
        <v>1450</v>
      </c>
      <c r="I15" t="n">
        <v>95</v>
      </c>
      <c r="J15" t="inlineStr">
        <is>
          <t>no</t>
        </is>
      </c>
      <c r="L15" t="n">
        <v>6.5</v>
      </c>
      <c r="M15">
        <f>A15&amp;"|"&amp;B15&amp;"|"&amp;C15&amp;"|"&amp;D15&amp;"|"&amp;E15&amp;"|"&amp;F15&amp;"|"&amp;G15&amp;"|"&amp;H15&amp;"|"&amp;I15&amp;"|"&amp;J15&amp;"|"&amp;K15&amp;"|"&amp;L15</f>
        <v/>
      </c>
      <c r="N15">
        <f>IF(COUNTIF(M$2:M15,M15)&gt;1,1,0)</f>
        <v/>
      </c>
      <c r="O15">
        <f>IF(AND(N15=0,COUNTIFS(B$2:B$43,B15,N$2:N$43,0,A$2:A$43,"&lt;"&amp;A15)&gt;0),1,0)</f>
        <v/>
      </c>
      <c r="P15">
        <f>IF(N15+O15=0,1,0)</f>
        <v/>
      </c>
      <c r="Q15">
        <f>UPPER(LEFT(TRIM(C15),1))</f>
        <v/>
      </c>
      <c r="R15">
        <f>IF(UPPER(LEFT(TRIM(J15),1))="Y","yes",IF(UPPER(LEFT(TRIM(J15),1))="N","no",""))</f>
        <v/>
      </c>
      <c r="S15">
        <f>IF(F15&lt;3,F15*100,IF(OR(F15&lt;120,F15&gt;220),"",F15))</f>
        <v/>
      </c>
      <c r="T15">
        <f>IF(OR(G15&lt;30,G15&gt;250),"",G15)</f>
        <v/>
      </c>
      <c r="U15">
        <f>IF(OR(H15=-99,H15&lt;70,H15&gt;260),"",H15)</f>
        <v/>
      </c>
      <c r="V15">
        <f>IF(OR(I15&lt;40,I15&gt;150),"",I15)</f>
        <v/>
      </c>
      <c r="W15">
        <f>IF(AND(U15&lt;&gt;"",V15&lt;&gt;""),IF(V15&gt;=U15,1,0),0)</f>
        <v/>
      </c>
      <c r="X15">
        <f>IF(W15=1,"",U15)</f>
        <v/>
      </c>
      <c r="Y15">
        <f>IF(W15=1,"",V15)</f>
        <v/>
      </c>
      <c r="Z15">
        <f>IF(Q15="M","",K15)</f>
        <v/>
      </c>
      <c r="AA15" s="4">
        <f>IF(D15&gt;E15,"",D15)</f>
        <v/>
      </c>
      <c r="AB15">
        <f>IF(AA15="","",DATEDIF(AA15,E15,"y"))</f>
        <v/>
      </c>
      <c r="AC15">
        <f>IF(AND(P15=1,OR(AB15="",AB15&gt;=18)),1,0)</f>
        <v/>
      </c>
      <c r="AD15">
        <f>IF(OR(S15="",T15=""),"",T15/(S15/100)^2)</f>
        <v/>
      </c>
      <c r="AE15">
        <f>IF(AB15="","",IF(AB15&lt;40,1,IF(AB15&lt;60,2,3)))</f>
        <v/>
      </c>
      <c r="AF15">
        <f>COUNTIF(labs!$A$2:$A$84,B15)</f>
        <v/>
      </c>
      <c r="AG15">
        <f>IF(AF15=0,"",AVERAGEIF(labs!$A$2:$A$84,B15,labs!$C$2:$C$84))</f>
        <v/>
      </c>
    </row>
    <row r="16">
      <c r="A16" t="n">
        <v>15</v>
      </c>
      <c r="B16" t="n">
        <v>15</v>
      </c>
      <c r="C16" t="inlineStr">
        <is>
          <t xml:space="preserve">M </t>
        </is>
      </c>
      <c r="D16" s="4" t="n">
        <v>26600</v>
      </c>
      <c r="E16" s="4" t="n">
        <v>45806</v>
      </c>
      <c r="F16" t="n">
        <v>174</v>
      </c>
      <c r="G16" t="n">
        <v>74.90000000000001</v>
      </c>
      <c r="H16" t="n">
        <v>148</v>
      </c>
      <c r="I16" t="n">
        <v>87</v>
      </c>
      <c r="J16" t="inlineStr">
        <is>
          <t>no</t>
        </is>
      </c>
      <c r="L16" t="n">
        <v>5.7</v>
      </c>
      <c r="M16">
        <f>A16&amp;"|"&amp;B16&amp;"|"&amp;C16&amp;"|"&amp;D16&amp;"|"&amp;E16&amp;"|"&amp;F16&amp;"|"&amp;G16&amp;"|"&amp;H16&amp;"|"&amp;I16&amp;"|"&amp;J16&amp;"|"&amp;K16&amp;"|"&amp;L16</f>
        <v/>
      </c>
      <c r="N16">
        <f>IF(COUNTIF(M$2:M16,M16)&gt;1,1,0)</f>
        <v/>
      </c>
      <c r="O16">
        <f>IF(AND(N16=0,COUNTIFS(B$2:B$43,B16,N$2:N$43,0,A$2:A$43,"&lt;"&amp;A16)&gt;0),1,0)</f>
        <v/>
      </c>
      <c r="P16">
        <f>IF(N16+O16=0,1,0)</f>
        <v/>
      </c>
      <c r="Q16">
        <f>UPPER(LEFT(TRIM(C16),1))</f>
        <v/>
      </c>
      <c r="R16">
        <f>IF(UPPER(LEFT(TRIM(J16),1))="Y","yes",IF(UPPER(LEFT(TRIM(J16),1))="N","no",""))</f>
        <v/>
      </c>
      <c r="S16">
        <f>IF(F16&lt;3,F16*100,IF(OR(F16&lt;120,F16&gt;220),"",F16))</f>
        <v/>
      </c>
      <c r="T16">
        <f>IF(OR(G16&lt;30,G16&gt;250),"",G16)</f>
        <v/>
      </c>
      <c r="U16">
        <f>IF(OR(H16=-99,H16&lt;70,H16&gt;260),"",H16)</f>
        <v/>
      </c>
      <c r="V16">
        <f>IF(OR(I16&lt;40,I16&gt;150),"",I16)</f>
        <v/>
      </c>
      <c r="W16">
        <f>IF(AND(U16&lt;&gt;"",V16&lt;&gt;""),IF(V16&gt;=U16,1,0),0)</f>
        <v/>
      </c>
      <c r="X16">
        <f>IF(W16=1,"",U16)</f>
        <v/>
      </c>
      <c r="Y16">
        <f>IF(W16=1,"",V16)</f>
        <v/>
      </c>
      <c r="Z16">
        <f>IF(Q16="M","",K16)</f>
        <v/>
      </c>
      <c r="AA16" s="4">
        <f>IF(D16&gt;E16,"",D16)</f>
        <v/>
      </c>
      <c r="AB16">
        <f>IF(AA16="","",DATEDIF(AA16,E16,"y"))</f>
        <v/>
      </c>
      <c r="AC16">
        <f>IF(AND(P16=1,OR(AB16="",AB16&gt;=18)),1,0)</f>
        <v/>
      </c>
      <c r="AD16">
        <f>IF(OR(S16="",T16=""),"",T16/(S16/100)^2)</f>
        <v/>
      </c>
      <c r="AE16">
        <f>IF(AB16="","",IF(AB16&lt;40,1,IF(AB16&lt;60,2,3)))</f>
        <v/>
      </c>
      <c r="AF16">
        <f>COUNTIF(labs!$A$2:$A$84,B16)</f>
        <v/>
      </c>
      <c r="AG16">
        <f>IF(AF16=0,"",AVERAGEIF(labs!$A$2:$A$84,B16,labs!$C$2:$C$84))</f>
        <v/>
      </c>
    </row>
    <row r="17">
      <c r="A17" t="n">
        <v>16</v>
      </c>
      <c r="B17" t="n">
        <v>16</v>
      </c>
      <c r="C17" t="inlineStr">
        <is>
          <t>M</t>
        </is>
      </c>
      <c r="D17" s="4" t="n">
        <v>18127</v>
      </c>
      <c r="E17" s="4" t="n">
        <v>45791</v>
      </c>
      <c r="F17" t="n">
        <v>181</v>
      </c>
      <c r="G17" t="n">
        <v>89.40000000000001</v>
      </c>
      <c r="H17" t="n">
        <v>165</v>
      </c>
      <c r="I17" t="n">
        <v>101</v>
      </c>
      <c r="J17" t="inlineStr">
        <is>
          <t>no</t>
        </is>
      </c>
      <c r="L17" t="n">
        <v>7.2</v>
      </c>
      <c r="M17">
        <f>A17&amp;"|"&amp;B17&amp;"|"&amp;C17&amp;"|"&amp;D17&amp;"|"&amp;E17&amp;"|"&amp;F17&amp;"|"&amp;G17&amp;"|"&amp;H17&amp;"|"&amp;I17&amp;"|"&amp;J17&amp;"|"&amp;K17&amp;"|"&amp;L17</f>
        <v/>
      </c>
      <c r="N17">
        <f>IF(COUNTIF(M$2:M17,M17)&gt;1,1,0)</f>
        <v/>
      </c>
      <c r="O17">
        <f>IF(AND(N17=0,COUNTIFS(B$2:B$43,B17,N$2:N$43,0,A$2:A$43,"&lt;"&amp;A17)&gt;0),1,0)</f>
        <v/>
      </c>
      <c r="P17">
        <f>IF(N17+O17=0,1,0)</f>
        <v/>
      </c>
      <c r="Q17">
        <f>UPPER(LEFT(TRIM(C17),1))</f>
        <v/>
      </c>
      <c r="R17">
        <f>IF(UPPER(LEFT(TRIM(J17),1))="Y","yes",IF(UPPER(LEFT(TRIM(J17),1))="N","no",""))</f>
        <v/>
      </c>
      <c r="S17">
        <f>IF(F17&lt;3,F17*100,IF(OR(F17&lt;120,F17&gt;220),"",F17))</f>
        <v/>
      </c>
      <c r="T17">
        <f>IF(OR(G17&lt;30,G17&gt;250),"",G17)</f>
        <v/>
      </c>
      <c r="U17">
        <f>IF(OR(H17=-99,H17&lt;70,H17&gt;260),"",H17)</f>
        <v/>
      </c>
      <c r="V17">
        <f>IF(OR(I17&lt;40,I17&gt;150),"",I17)</f>
        <v/>
      </c>
      <c r="W17">
        <f>IF(AND(U17&lt;&gt;"",V17&lt;&gt;""),IF(V17&gt;=U17,1,0),0)</f>
        <v/>
      </c>
      <c r="X17">
        <f>IF(W17=1,"",U17)</f>
        <v/>
      </c>
      <c r="Y17">
        <f>IF(W17=1,"",V17)</f>
        <v/>
      </c>
      <c r="Z17">
        <f>IF(Q17="M","",K17)</f>
        <v/>
      </c>
      <c r="AA17" s="4">
        <f>IF(D17&gt;E17,"",D17)</f>
        <v/>
      </c>
      <c r="AB17">
        <f>IF(AA17="","",DATEDIF(AA17,E17,"y"))</f>
        <v/>
      </c>
      <c r="AC17">
        <f>IF(AND(P17=1,OR(AB17="",AB17&gt;=18)),1,0)</f>
        <v/>
      </c>
      <c r="AD17">
        <f>IF(OR(S17="",T17=""),"",T17/(S17/100)^2)</f>
        <v/>
      </c>
      <c r="AE17">
        <f>IF(AB17="","",IF(AB17&lt;40,1,IF(AB17&lt;60,2,3)))</f>
        <v/>
      </c>
      <c r="AF17">
        <f>COUNTIF(labs!$A$2:$A$84,B17)</f>
        <v/>
      </c>
      <c r="AG17">
        <f>IF(AF17=0,"",AVERAGEIF(labs!$A$2:$A$84,B17,labs!$C$2:$C$84))</f>
        <v/>
      </c>
    </row>
    <row r="18">
      <c r="A18" t="n">
        <v>17</v>
      </c>
      <c r="B18" t="n">
        <v>17</v>
      </c>
      <c r="C18" t="inlineStr">
        <is>
          <t>female</t>
        </is>
      </c>
      <c r="D18" s="4" t="n">
        <v>36238</v>
      </c>
      <c r="E18" s="4" t="n">
        <v>45779</v>
      </c>
      <c r="F18" t="n">
        <v>151</v>
      </c>
      <c r="G18" t="n">
        <v>76.2</v>
      </c>
      <c r="H18" t="n">
        <v>123</v>
      </c>
      <c r="I18" t="n">
        <v>71</v>
      </c>
      <c r="K18" t="inlineStr">
        <is>
          <t>no</t>
        </is>
      </c>
      <c r="L18" t="n">
        <v>6.4</v>
      </c>
      <c r="M18">
        <f>A18&amp;"|"&amp;B18&amp;"|"&amp;C18&amp;"|"&amp;D18&amp;"|"&amp;E18&amp;"|"&amp;F18&amp;"|"&amp;G18&amp;"|"&amp;H18&amp;"|"&amp;I18&amp;"|"&amp;J18&amp;"|"&amp;K18&amp;"|"&amp;L18</f>
        <v/>
      </c>
      <c r="N18">
        <f>IF(COUNTIF(M$2:M18,M18)&gt;1,1,0)</f>
        <v/>
      </c>
      <c r="O18">
        <f>IF(AND(N18=0,COUNTIFS(B$2:B$43,B18,N$2:N$43,0,A$2:A$43,"&lt;"&amp;A18)&gt;0),1,0)</f>
        <v/>
      </c>
      <c r="P18">
        <f>IF(N18+O18=0,1,0)</f>
        <v/>
      </c>
      <c r="Q18">
        <f>UPPER(LEFT(TRIM(C18),1))</f>
        <v/>
      </c>
      <c r="R18">
        <f>IF(UPPER(LEFT(TRIM(J18),1))="Y","yes",IF(UPPER(LEFT(TRIM(J18),1))="N","no",""))</f>
        <v/>
      </c>
      <c r="S18">
        <f>IF(F18&lt;3,F18*100,IF(OR(F18&lt;120,F18&gt;220),"",F18))</f>
        <v/>
      </c>
      <c r="T18">
        <f>IF(OR(G18&lt;30,G18&gt;250),"",G18)</f>
        <v/>
      </c>
      <c r="U18">
        <f>IF(OR(H18=-99,H18&lt;70,H18&gt;260),"",H18)</f>
        <v/>
      </c>
      <c r="V18">
        <f>IF(OR(I18&lt;40,I18&gt;150),"",I18)</f>
        <v/>
      </c>
      <c r="W18">
        <f>IF(AND(U18&lt;&gt;"",V18&lt;&gt;""),IF(V18&gt;=U18,1,0),0)</f>
        <v/>
      </c>
      <c r="X18">
        <f>IF(W18=1,"",U18)</f>
        <v/>
      </c>
      <c r="Y18">
        <f>IF(W18=1,"",V18)</f>
        <v/>
      </c>
      <c r="Z18">
        <f>IF(Q18="M","",K18)</f>
        <v/>
      </c>
      <c r="AA18" s="4">
        <f>IF(D18&gt;E18,"",D18)</f>
        <v/>
      </c>
      <c r="AB18">
        <f>IF(AA18="","",DATEDIF(AA18,E18,"y"))</f>
        <v/>
      </c>
      <c r="AC18">
        <f>IF(AND(P18=1,OR(AB18="",AB18&gt;=18)),1,0)</f>
        <v/>
      </c>
      <c r="AD18">
        <f>IF(OR(S18="",T18=""),"",T18/(S18/100)^2)</f>
        <v/>
      </c>
      <c r="AE18">
        <f>IF(AB18="","",IF(AB18&lt;40,1,IF(AB18&lt;60,2,3)))</f>
        <v/>
      </c>
      <c r="AF18">
        <f>COUNTIF(labs!$A$2:$A$84,B18)</f>
        <v/>
      </c>
      <c r="AG18">
        <f>IF(AF18=0,"",AVERAGEIF(labs!$A$2:$A$84,B18,labs!$C$2:$C$84))</f>
        <v/>
      </c>
    </row>
    <row r="19">
      <c r="A19" t="n">
        <v>18</v>
      </c>
      <c r="B19" t="n">
        <v>18</v>
      </c>
      <c r="C19" t="inlineStr">
        <is>
          <t>M</t>
        </is>
      </c>
      <c r="D19" s="4" t="n">
        <v>36392</v>
      </c>
      <c r="E19" s="4" t="n">
        <v>45878</v>
      </c>
      <c r="F19" t="n">
        <v>1720</v>
      </c>
      <c r="G19" t="n">
        <v>69.8</v>
      </c>
      <c r="H19" t="n">
        <v>140</v>
      </c>
      <c r="I19" t="n">
        <v>86</v>
      </c>
      <c r="J19" t="inlineStr">
        <is>
          <t>no</t>
        </is>
      </c>
      <c r="L19" t="n">
        <v>7.7</v>
      </c>
      <c r="M19">
        <f>A19&amp;"|"&amp;B19&amp;"|"&amp;C19&amp;"|"&amp;D19&amp;"|"&amp;E19&amp;"|"&amp;F19&amp;"|"&amp;G19&amp;"|"&amp;H19&amp;"|"&amp;I19&amp;"|"&amp;J19&amp;"|"&amp;K19&amp;"|"&amp;L19</f>
        <v/>
      </c>
      <c r="N19">
        <f>IF(COUNTIF(M$2:M19,M19)&gt;1,1,0)</f>
        <v/>
      </c>
      <c r="O19">
        <f>IF(AND(N19=0,COUNTIFS(B$2:B$43,B19,N$2:N$43,0,A$2:A$43,"&lt;"&amp;A19)&gt;0),1,0)</f>
        <v/>
      </c>
      <c r="P19">
        <f>IF(N19+O19=0,1,0)</f>
        <v/>
      </c>
      <c r="Q19">
        <f>UPPER(LEFT(TRIM(C19),1))</f>
        <v/>
      </c>
      <c r="R19">
        <f>IF(UPPER(LEFT(TRIM(J19),1))="Y","yes",IF(UPPER(LEFT(TRIM(J19),1))="N","no",""))</f>
        <v/>
      </c>
      <c r="S19">
        <f>IF(F19&lt;3,F19*100,IF(OR(F19&lt;120,F19&gt;220),"",F19))</f>
        <v/>
      </c>
      <c r="T19">
        <f>IF(OR(G19&lt;30,G19&gt;250),"",G19)</f>
        <v/>
      </c>
      <c r="U19">
        <f>IF(OR(H19=-99,H19&lt;70,H19&gt;260),"",H19)</f>
        <v/>
      </c>
      <c r="V19">
        <f>IF(OR(I19&lt;40,I19&gt;150),"",I19)</f>
        <v/>
      </c>
      <c r="W19">
        <f>IF(AND(U19&lt;&gt;"",V19&lt;&gt;""),IF(V19&gt;=U19,1,0),0)</f>
        <v/>
      </c>
      <c r="X19">
        <f>IF(W19=1,"",U19)</f>
        <v/>
      </c>
      <c r="Y19">
        <f>IF(W19=1,"",V19)</f>
        <v/>
      </c>
      <c r="Z19">
        <f>IF(Q19="M","",K19)</f>
        <v/>
      </c>
      <c r="AA19" s="4">
        <f>IF(D19&gt;E19,"",D19)</f>
        <v/>
      </c>
      <c r="AB19">
        <f>IF(AA19="","",DATEDIF(AA19,E19,"y"))</f>
        <v/>
      </c>
      <c r="AC19">
        <f>IF(AND(P19=1,OR(AB19="",AB19&gt;=18)),1,0)</f>
        <v/>
      </c>
      <c r="AD19">
        <f>IF(OR(S19="",T19=""),"",T19/(S19/100)^2)</f>
        <v/>
      </c>
      <c r="AE19">
        <f>IF(AB19="","",IF(AB19&lt;40,1,IF(AB19&lt;60,2,3)))</f>
        <v/>
      </c>
      <c r="AF19">
        <f>COUNTIF(labs!$A$2:$A$84,B19)</f>
        <v/>
      </c>
      <c r="AG19">
        <f>IF(AF19=0,"",AVERAGEIF(labs!$A$2:$A$84,B19,labs!$C$2:$C$84))</f>
        <v/>
      </c>
    </row>
    <row r="20">
      <c r="A20" t="n">
        <v>19</v>
      </c>
      <c r="B20" t="n">
        <v>19</v>
      </c>
      <c r="C20" t="inlineStr">
        <is>
          <t>M</t>
        </is>
      </c>
      <c r="D20" s="4" t="n">
        <v>19067</v>
      </c>
      <c r="E20" s="4" t="n">
        <v>45734</v>
      </c>
      <c r="F20" t="n">
        <v>179</v>
      </c>
      <c r="G20" t="n">
        <v>107.7</v>
      </c>
      <c r="H20" t="n">
        <v>112</v>
      </c>
      <c r="I20" t="n">
        <v>73</v>
      </c>
      <c r="J20" t="inlineStr">
        <is>
          <t>no</t>
        </is>
      </c>
      <c r="L20" t="n">
        <v>5.3</v>
      </c>
      <c r="M20">
        <f>A20&amp;"|"&amp;B20&amp;"|"&amp;C20&amp;"|"&amp;D20&amp;"|"&amp;E20&amp;"|"&amp;F20&amp;"|"&amp;G20&amp;"|"&amp;H20&amp;"|"&amp;I20&amp;"|"&amp;J20&amp;"|"&amp;K20&amp;"|"&amp;L20</f>
        <v/>
      </c>
      <c r="N20">
        <f>IF(COUNTIF(M$2:M20,M20)&gt;1,1,0)</f>
        <v/>
      </c>
      <c r="O20">
        <f>IF(AND(N20=0,COUNTIFS(B$2:B$43,B20,N$2:N$43,0,A$2:A$43,"&lt;"&amp;A20)&gt;0),1,0)</f>
        <v/>
      </c>
      <c r="P20">
        <f>IF(N20+O20=0,1,0)</f>
        <v/>
      </c>
      <c r="Q20">
        <f>UPPER(LEFT(TRIM(C20),1))</f>
        <v/>
      </c>
      <c r="R20">
        <f>IF(UPPER(LEFT(TRIM(J20),1))="Y","yes",IF(UPPER(LEFT(TRIM(J20),1))="N","no",""))</f>
        <v/>
      </c>
      <c r="S20">
        <f>IF(F20&lt;3,F20*100,IF(OR(F20&lt;120,F20&gt;220),"",F20))</f>
        <v/>
      </c>
      <c r="T20">
        <f>IF(OR(G20&lt;30,G20&gt;250),"",G20)</f>
        <v/>
      </c>
      <c r="U20">
        <f>IF(OR(H20=-99,H20&lt;70,H20&gt;260),"",H20)</f>
        <v/>
      </c>
      <c r="V20">
        <f>IF(OR(I20&lt;40,I20&gt;150),"",I20)</f>
        <v/>
      </c>
      <c r="W20">
        <f>IF(AND(U20&lt;&gt;"",V20&lt;&gt;""),IF(V20&gt;=U20,1,0),0)</f>
        <v/>
      </c>
      <c r="X20">
        <f>IF(W20=1,"",U20)</f>
        <v/>
      </c>
      <c r="Y20">
        <f>IF(W20=1,"",V20)</f>
        <v/>
      </c>
      <c r="Z20">
        <f>IF(Q20="M","",K20)</f>
        <v/>
      </c>
      <c r="AA20" s="4">
        <f>IF(D20&gt;E20,"",D20)</f>
        <v/>
      </c>
      <c r="AB20">
        <f>IF(AA20="","",DATEDIF(AA20,E20,"y"))</f>
        <v/>
      </c>
      <c r="AC20">
        <f>IF(AND(P20=1,OR(AB20="",AB20&gt;=18)),1,0)</f>
        <v/>
      </c>
      <c r="AD20">
        <f>IF(OR(S20="",T20=""),"",T20/(S20/100)^2)</f>
        <v/>
      </c>
      <c r="AE20">
        <f>IF(AB20="","",IF(AB20&lt;40,1,IF(AB20&lt;60,2,3)))</f>
        <v/>
      </c>
      <c r="AF20">
        <f>COUNTIF(labs!$A$2:$A$84,B20)</f>
        <v/>
      </c>
      <c r="AG20">
        <f>IF(AF20=0,"",AVERAGEIF(labs!$A$2:$A$84,B20,labs!$C$2:$C$84))</f>
        <v/>
      </c>
    </row>
    <row r="21">
      <c r="A21" t="n">
        <v>20</v>
      </c>
      <c r="B21" t="n">
        <v>20</v>
      </c>
      <c r="C21" t="inlineStr">
        <is>
          <t>M</t>
        </is>
      </c>
      <c r="D21" s="4" t="n">
        <v>25237</v>
      </c>
      <c r="E21" s="4" t="n">
        <v>45938</v>
      </c>
      <c r="F21" t="n">
        <v>166</v>
      </c>
      <c r="G21" t="n">
        <v>78.8</v>
      </c>
      <c r="H21" t="n">
        <v>130</v>
      </c>
      <c r="I21" t="n">
        <v>87</v>
      </c>
      <c r="J21" t="inlineStr">
        <is>
          <t>no</t>
        </is>
      </c>
      <c r="M21">
        <f>A21&amp;"|"&amp;B21&amp;"|"&amp;C21&amp;"|"&amp;D21&amp;"|"&amp;E21&amp;"|"&amp;F21&amp;"|"&amp;G21&amp;"|"&amp;H21&amp;"|"&amp;I21&amp;"|"&amp;J21&amp;"|"&amp;K21&amp;"|"&amp;L21</f>
        <v/>
      </c>
      <c r="N21">
        <f>IF(COUNTIF(M$2:M21,M21)&gt;1,1,0)</f>
        <v/>
      </c>
      <c r="O21">
        <f>IF(AND(N21=0,COUNTIFS(B$2:B$43,B21,N$2:N$43,0,A$2:A$43,"&lt;"&amp;A21)&gt;0),1,0)</f>
        <v/>
      </c>
      <c r="P21">
        <f>IF(N21+O21=0,1,0)</f>
        <v/>
      </c>
      <c r="Q21">
        <f>UPPER(LEFT(TRIM(C21),1))</f>
        <v/>
      </c>
      <c r="R21">
        <f>IF(UPPER(LEFT(TRIM(J21),1))="Y","yes",IF(UPPER(LEFT(TRIM(J21),1))="N","no",""))</f>
        <v/>
      </c>
      <c r="S21">
        <f>IF(F21&lt;3,F21*100,IF(OR(F21&lt;120,F21&gt;220),"",F21))</f>
        <v/>
      </c>
      <c r="T21">
        <f>IF(OR(G21&lt;30,G21&gt;250),"",G21)</f>
        <v/>
      </c>
      <c r="U21">
        <f>IF(OR(H21=-99,H21&lt;70,H21&gt;260),"",H21)</f>
        <v/>
      </c>
      <c r="V21">
        <f>IF(OR(I21&lt;40,I21&gt;150),"",I21)</f>
        <v/>
      </c>
      <c r="W21">
        <f>IF(AND(U21&lt;&gt;"",V21&lt;&gt;""),IF(V21&gt;=U21,1,0),0)</f>
        <v/>
      </c>
      <c r="X21">
        <f>IF(W21=1,"",U21)</f>
        <v/>
      </c>
      <c r="Y21">
        <f>IF(W21=1,"",V21)</f>
        <v/>
      </c>
      <c r="Z21">
        <f>IF(Q21="M","",K21)</f>
        <v/>
      </c>
      <c r="AA21" s="4">
        <f>IF(D21&gt;E21,"",D21)</f>
        <v/>
      </c>
      <c r="AB21">
        <f>IF(AA21="","",DATEDIF(AA21,E21,"y"))</f>
        <v/>
      </c>
      <c r="AC21">
        <f>IF(AND(P21=1,OR(AB21="",AB21&gt;=18)),1,0)</f>
        <v/>
      </c>
      <c r="AD21">
        <f>IF(OR(S21="",T21=""),"",T21/(S21/100)^2)</f>
        <v/>
      </c>
      <c r="AE21">
        <f>IF(AB21="","",IF(AB21&lt;40,1,IF(AB21&lt;60,2,3)))</f>
        <v/>
      </c>
      <c r="AF21">
        <f>COUNTIF(labs!$A$2:$A$84,B21)</f>
        <v/>
      </c>
      <c r="AG21">
        <f>IF(AF21=0,"",AVERAGEIF(labs!$A$2:$A$84,B21,labs!$C$2:$C$84))</f>
        <v/>
      </c>
    </row>
    <row r="22">
      <c r="A22" t="n">
        <v>21</v>
      </c>
      <c r="B22" t="n">
        <v>21</v>
      </c>
      <c r="C22" t="inlineStr">
        <is>
          <t>M</t>
        </is>
      </c>
      <c r="D22" s="4" t="n">
        <v>19414</v>
      </c>
      <c r="E22" s="4" t="n">
        <v>45944</v>
      </c>
      <c r="F22" t="n">
        <v>186</v>
      </c>
      <c r="G22" t="n">
        <v>100.8</v>
      </c>
      <c r="H22" t="n">
        <v>159</v>
      </c>
      <c r="I22" t="n">
        <v>92</v>
      </c>
      <c r="J22" t="inlineStr">
        <is>
          <t>NO</t>
        </is>
      </c>
      <c r="L22" t="n">
        <v>7</v>
      </c>
      <c r="M22">
        <f>A22&amp;"|"&amp;B22&amp;"|"&amp;C22&amp;"|"&amp;D22&amp;"|"&amp;E22&amp;"|"&amp;F22&amp;"|"&amp;G22&amp;"|"&amp;H22&amp;"|"&amp;I22&amp;"|"&amp;J22&amp;"|"&amp;K22&amp;"|"&amp;L22</f>
        <v/>
      </c>
      <c r="N22">
        <f>IF(COUNTIF(M$2:M22,M22)&gt;1,1,0)</f>
        <v/>
      </c>
      <c r="O22">
        <f>IF(AND(N22=0,COUNTIFS(B$2:B$43,B22,N$2:N$43,0,A$2:A$43,"&lt;"&amp;A22)&gt;0),1,0)</f>
        <v/>
      </c>
      <c r="P22">
        <f>IF(N22+O22=0,1,0)</f>
        <v/>
      </c>
      <c r="Q22">
        <f>UPPER(LEFT(TRIM(C22),1))</f>
        <v/>
      </c>
      <c r="R22">
        <f>IF(UPPER(LEFT(TRIM(J22),1))="Y","yes",IF(UPPER(LEFT(TRIM(J22),1))="N","no",""))</f>
        <v/>
      </c>
      <c r="S22">
        <f>IF(F22&lt;3,F22*100,IF(OR(F22&lt;120,F22&gt;220),"",F22))</f>
        <v/>
      </c>
      <c r="T22">
        <f>IF(OR(G22&lt;30,G22&gt;250),"",G22)</f>
        <v/>
      </c>
      <c r="U22">
        <f>IF(OR(H22=-99,H22&lt;70,H22&gt;260),"",H22)</f>
        <v/>
      </c>
      <c r="V22">
        <f>IF(OR(I22&lt;40,I22&gt;150),"",I22)</f>
        <v/>
      </c>
      <c r="W22">
        <f>IF(AND(U22&lt;&gt;"",V22&lt;&gt;""),IF(V22&gt;=U22,1,0),0)</f>
        <v/>
      </c>
      <c r="X22">
        <f>IF(W22=1,"",U22)</f>
        <v/>
      </c>
      <c r="Y22">
        <f>IF(W22=1,"",V22)</f>
        <v/>
      </c>
      <c r="Z22">
        <f>IF(Q22="M","",K22)</f>
        <v/>
      </c>
      <c r="AA22" s="4">
        <f>IF(D22&gt;E22,"",D22)</f>
        <v/>
      </c>
      <c r="AB22">
        <f>IF(AA22="","",DATEDIF(AA22,E22,"y"))</f>
        <v/>
      </c>
      <c r="AC22">
        <f>IF(AND(P22=1,OR(AB22="",AB22&gt;=18)),1,0)</f>
        <v/>
      </c>
      <c r="AD22">
        <f>IF(OR(S22="",T22=""),"",T22/(S22/100)^2)</f>
        <v/>
      </c>
      <c r="AE22">
        <f>IF(AB22="","",IF(AB22&lt;40,1,IF(AB22&lt;60,2,3)))</f>
        <v/>
      </c>
      <c r="AF22">
        <f>COUNTIF(labs!$A$2:$A$84,B22)</f>
        <v/>
      </c>
      <c r="AG22">
        <f>IF(AF22=0,"",AVERAGEIF(labs!$A$2:$A$84,B22,labs!$C$2:$C$84))</f>
        <v/>
      </c>
    </row>
    <row r="23">
      <c r="A23" t="n">
        <v>22</v>
      </c>
      <c r="B23" t="n">
        <v>22</v>
      </c>
      <c r="C23" t="inlineStr">
        <is>
          <t>F</t>
        </is>
      </c>
      <c r="D23" s="4" t="n">
        <v>17876</v>
      </c>
      <c r="E23" s="4" t="n">
        <v>45746</v>
      </c>
      <c r="F23" t="n">
        <v>157</v>
      </c>
      <c r="G23" t="n">
        <v>72.3</v>
      </c>
      <c r="H23" t="n">
        <v>88</v>
      </c>
      <c r="I23" t="n">
        <v>95</v>
      </c>
      <c r="J23" t="inlineStr">
        <is>
          <t>no</t>
        </is>
      </c>
      <c r="K23" t="inlineStr">
        <is>
          <t>no</t>
        </is>
      </c>
      <c r="L23" t="n">
        <v>5.9</v>
      </c>
      <c r="M23">
        <f>A23&amp;"|"&amp;B23&amp;"|"&amp;C23&amp;"|"&amp;D23&amp;"|"&amp;E23&amp;"|"&amp;F23&amp;"|"&amp;G23&amp;"|"&amp;H23&amp;"|"&amp;I23&amp;"|"&amp;J23&amp;"|"&amp;K23&amp;"|"&amp;L23</f>
        <v/>
      </c>
      <c r="N23">
        <f>IF(COUNTIF(M$2:M23,M23)&gt;1,1,0)</f>
        <v/>
      </c>
      <c r="O23">
        <f>IF(AND(N23=0,COUNTIFS(B$2:B$43,B23,N$2:N$43,0,A$2:A$43,"&lt;"&amp;A23)&gt;0),1,0)</f>
        <v/>
      </c>
      <c r="P23">
        <f>IF(N23+O23=0,1,0)</f>
        <v/>
      </c>
      <c r="Q23">
        <f>UPPER(LEFT(TRIM(C23),1))</f>
        <v/>
      </c>
      <c r="R23">
        <f>IF(UPPER(LEFT(TRIM(J23),1))="Y","yes",IF(UPPER(LEFT(TRIM(J23),1))="N","no",""))</f>
        <v/>
      </c>
      <c r="S23">
        <f>IF(F23&lt;3,F23*100,IF(OR(F23&lt;120,F23&gt;220),"",F23))</f>
        <v/>
      </c>
      <c r="T23">
        <f>IF(OR(G23&lt;30,G23&gt;250),"",G23)</f>
        <v/>
      </c>
      <c r="U23">
        <f>IF(OR(H23=-99,H23&lt;70,H23&gt;260),"",H23)</f>
        <v/>
      </c>
      <c r="V23">
        <f>IF(OR(I23&lt;40,I23&gt;150),"",I23)</f>
        <v/>
      </c>
      <c r="W23">
        <f>IF(AND(U23&lt;&gt;"",V23&lt;&gt;""),IF(V23&gt;=U23,1,0),0)</f>
        <v/>
      </c>
      <c r="X23">
        <f>IF(W23=1,"",U23)</f>
        <v/>
      </c>
      <c r="Y23">
        <f>IF(W23=1,"",V23)</f>
        <v/>
      </c>
      <c r="Z23">
        <f>IF(Q23="M","",K23)</f>
        <v/>
      </c>
      <c r="AA23" s="4">
        <f>IF(D23&gt;E23,"",D23)</f>
        <v/>
      </c>
      <c r="AB23">
        <f>IF(AA23="","",DATEDIF(AA23,E23,"y"))</f>
        <v/>
      </c>
      <c r="AC23">
        <f>IF(AND(P23=1,OR(AB23="",AB23&gt;=18)),1,0)</f>
        <v/>
      </c>
      <c r="AD23">
        <f>IF(OR(S23="",T23=""),"",T23/(S23/100)^2)</f>
        <v/>
      </c>
      <c r="AE23">
        <f>IF(AB23="","",IF(AB23&lt;40,1,IF(AB23&lt;60,2,3)))</f>
        <v/>
      </c>
      <c r="AF23">
        <f>COUNTIF(labs!$A$2:$A$84,B23)</f>
        <v/>
      </c>
      <c r="AG23">
        <f>IF(AF23=0,"",AVERAGEIF(labs!$A$2:$A$84,B23,labs!$C$2:$C$84))</f>
        <v/>
      </c>
    </row>
    <row r="24">
      <c r="A24" t="n">
        <v>23</v>
      </c>
      <c r="B24" t="n">
        <v>23</v>
      </c>
      <c r="C24" t="inlineStr">
        <is>
          <t>M</t>
        </is>
      </c>
      <c r="D24" s="4" t="n">
        <v>28654</v>
      </c>
      <c r="E24" s="4" t="n">
        <v>45961</v>
      </c>
      <c r="F24" t="n">
        <v>175</v>
      </c>
      <c r="G24" t="n">
        <v>86.8</v>
      </c>
      <c r="H24" t="n">
        <v>153</v>
      </c>
      <c r="I24" t="n">
        <v>96</v>
      </c>
      <c r="J24" t="inlineStr">
        <is>
          <t>no</t>
        </is>
      </c>
      <c r="L24" t="n">
        <v>6.7</v>
      </c>
      <c r="M24">
        <f>A24&amp;"|"&amp;B24&amp;"|"&amp;C24&amp;"|"&amp;D24&amp;"|"&amp;E24&amp;"|"&amp;F24&amp;"|"&amp;G24&amp;"|"&amp;H24&amp;"|"&amp;I24&amp;"|"&amp;J24&amp;"|"&amp;K24&amp;"|"&amp;L24</f>
        <v/>
      </c>
      <c r="N24">
        <f>IF(COUNTIF(M$2:M24,M24)&gt;1,1,0)</f>
        <v/>
      </c>
      <c r="O24">
        <f>IF(AND(N24=0,COUNTIFS(B$2:B$43,B24,N$2:N$43,0,A$2:A$43,"&lt;"&amp;A24)&gt;0),1,0)</f>
        <v/>
      </c>
      <c r="P24">
        <f>IF(N24+O24=0,1,0)</f>
        <v/>
      </c>
      <c r="Q24">
        <f>UPPER(LEFT(TRIM(C24),1))</f>
        <v/>
      </c>
      <c r="R24">
        <f>IF(UPPER(LEFT(TRIM(J24),1))="Y","yes",IF(UPPER(LEFT(TRIM(J24),1))="N","no",""))</f>
        <v/>
      </c>
      <c r="S24">
        <f>IF(F24&lt;3,F24*100,IF(OR(F24&lt;120,F24&gt;220),"",F24))</f>
        <v/>
      </c>
      <c r="T24">
        <f>IF(OR(G24&lt;30,G24&gt;250),"",G24)</f>
        <v/>
      </c>
      <c r="U24">
        <f>IF(OR(H24=-99,H24&lt;70,H24&gt;260),"",H24)</f>
        <v/>
      </c>
      <c r="V24">
        <f>IF(OR(I24&lt;40,I24&gt;150),"",I24)</f>
        <v/>
      </c>
      <c r="W24">
        <f>IF(AND(U24&lt;&gt;"",V24&lt;&gt;""),IF(V24&gt;=U24,1,0),0)</f>
        <v/>
      </c>
      <c r="X24">
        <f>IF(W24=1,"",U24)</f>
        <v/>
      </c>
      <c r="Y24">
        <f>IF(W24=1,"",V24)</f>
        <v/>
      </c>
      <c r="Z24">
        <f>IF(Q24="M","",K24)</f>
        <v/>
      </c>
      <c r="AA24" s="4">
        <f>IF(D24&gt;E24,"",D24)</f>
        <v/>
      </c>
      <c r="AB24">
        <f>IF(AA24="","",DATEDIF(AA24,E24,"y"))</f>
        <v/>
      </c>
      <c r="AC24">
        <f>IF(AND(P24=1,OR(AB24="",AB24&gt;=18)),1,0)</f>
        <v/>
      </c>
      <c r="AD24">
        <f>IF(OR(S24="",T24=""),"",T24/(S24/100)^2)</f>
        <v/>
      </c>
      <c r="AE24">
        <f>IF(AB24="","",IF(AB24&lt;40,1,IF(AB24&lt;60,2,3)))</f>
        <v/>
      </c>
      <c r="AF24">
        <f>COUNTIF(labs!$A$2:$A$84,B24)</f>
        <v/>
      </c>
      <c r="AG24">
        <f>IF(AF24=0,"",AVERAGEIF(labs!$A$2:$A$84,B24,labs!$C$2:$C$84))</f>
        <v/>
      </c>
    </row>
    <row r="25">
      <c r="A25" t="n">
        <v>24</v>
      </c>
      <c r="B25" t="n">
        <v>24</v>
      </c>
      <c r="C25" t="inlineStr">
        <is>
          <t>M</t>
        </is>
      </c>
      <c r="D25" s="4" t="n">
        <v>32726</v>
      </c>
      <c r="E25" s="4" t="n">
        <v>45701</v>
      </c>
      <c r="F25" t="n">
        <v>163</v>
      </c>
      <c r="G25" t="n">
        <v>57.5</v>
      </c>
      <c r="H25" t="n">
        <v>145</v>
      </c>
      <c r="I25" t="n">
        <v>83</v>
      </c>
      <c r="J25" t="inlineStr">
        <is>
          <t>Y</t>
        </is>
      </c>
      <c r="L25" t="n">
        <v>8.199999999999999</v>
      </c>
      <c r="M25">
        <f>A25&amp;"|"&amp;B25&amp;"|"&amp;C25&amp;"|"&amp;D25&amp;"|"&amp;E25&amp;"|"&amp;F25&amp;"|"&amp;G25&amp;"|"&amp;H25&amp;"|"&amp;I25&amp;"|"&amp;J25&amp;"|"&amp;K25&amp;"|"&amp;L25</f>
        <v/>
      </c>
      <c r="N25">
        <f>IF(COUNTIF(M$2:M25,M25)&gt;1,1,0)</f>
        <v/>
      </c>
      <c r="O25">
        <f>IF(AND(N25=0,COUNTIFS(B$2:B$43,B25,N$2:N$43,0,A$2:A$43,"&lt;"&amp;A25)&gt;0),1,0)</f>
        <v/>
      </c>
      <c r="P25">
        <f>IF(N25+O25=0,1,0)</f>
        <v/>
      </c>
      <c r="Q25">
        <f>UPPER(LEFT(TRIM(C25),1))</f>
        <v/>
      </c>
      <c r="R25">
        <f>IF(UPPER(LEFT(TRIM(J25),1))="Y","yes",IF(UPPER(LEFT(TRIM(J25),1))="N","no",""))</f>
        <v/>
      </c>
      <c r="S25">
        <f>IF(F25&lt;3,F25*100,IF(OR(F25&lt;120,F25&gt;220),"",F25))</f>
        <v/>
      </c>
      <c r="T25">
        <f>IF(OR(G25&lt;30,G25&gt;250),"",G25)</f>
        <v/>
      </c>
      <c r="U25">
        <f>IF(OR(H25=-99,H25&lt;70,H25&gt;260),"",H25)</f>
        <v/>
      </c>
      <c r="V25">
        <f>IF(OR(I25&lt;40,I25&gt;150),"",I25)</f>
        <v/>
      </c>
      <c r="W25">
        <f>IF(AND(U25&lt;&gt;"",V25&lt;&gt;""),IF(V25&gt;=U25,1,0),0)</f>
        <v/>
      </c>
      <c r="X25">
        <f>IF(W25=1,"",U25)</f>
        <v/>
      </c>
      <c r="Y25">
        <f>IF(W25=1,"",V25)</f>
        <v/>
      </c>
      <c r="Z25">
        <f>IF(Q25="M","",K25)</f>
        <v/>
      </c>
      <c r="AA25" s="4">
        <f>IF(D25&gt;E25,"",D25)</f>
        <v/>
      </c>
      <c r="AB25">
        <f>IF(AA25="","",DATEDIF(AA25,E25,"y"))</f>
        <v/>
      </c>
      <c r="AC25">
        <f>IF(AND(P25=1,OR(AB25="",AB25&gt;=18)),1,0)</f>
        <v/>
      </c>
      <c r="AD25">
        <f>IF(OR(S25="",T25=""),"",T25/(S25/100)^2)</f>
        <v/>
      </c>
      <c r="AE25">
        <f>IF(AB25="","",IF(AB25&lt;40,1,IF(AB25&lt;60,2,3)))</f>
        <v/>
      </c>
      <c r="AF25">
        <f>COUNTIF(labs!$A$2:$A$84,B25)</f>
        <v/>
      </c>
      <c r="AG25">
        <f>IF(AF25=0,"",AVERAGEIF(labs!$A$2:$A$84,B25,labs!$C$2:$C$84))</f>
        <v/>
      </c>
    </row>
    <row r="26">
      <c r="A26" t="n">
        <v>25</v>
      </c>
      <c r="B26" t="n">
        <v>25</v>
      </c>
      <c r="C26" t="inlineStr">
        <is>
          <t>M</t>
        </is>
      </c>
      <c r="D26" s="4" t="n">
        <v>26893</v>
      </c>
      <c r="E26" s="4" t="n">
        <v>45855</v>
      </c>
      <c r="F26" t="n">
        <v>168</v>
      </c>
      <c r="G26" t="n">
        <v>77.09999999999999</v>
      </c>
      <c r="H26" t="n">
        <v>142</v>
      </c>
      <c r="I26" t="n">
        <v>92</v>
      </c>
      <c r="J26" t="inlineStr">
        <is>
          <t>no</t>
        </is>
      </c>
      <c r="L26" t="n">
        <v>8.199999999999999</v>
      </c>
      <c r="M26">
        <f>A26&amp;"|"&amp;B26&amp;"|"&amp;C26&amp;"|"&amp;D26&amp;"|"&amp;E26&amp;"|"&amp;F26&amp;"|"&amp;G26&amp;"|"&amp;H26&amp;"|"&amp;I26&amp;"|"&amp;J26&amp;"|"&amp;K26&amp;"|"&amp;L26</f>
        <v/>
      </c>
      <c r="N26">
        <f>IF(COUNTIF(M$2:M26,M26)&gt;1,1,0)</f>
        <v/>
      </c>
      <c r="O26">
        <f>IF(AND(N26=0,COUNTIFS(B$2:B$43,B26,N$2:N$43,0,A$2:A$43,"&lt;"&amp;A26)&gt;0),1,0)</f>
        <v/>
      </c>
      <c r="P26">
        <f>IF(N26+O26=0,1,0)</f>
        <v/>
      </c>
      <c r="Q26">
        <f>UPPER(LEFT(TRIM(C26),1))</f>
        <v/>
      </c>
      <c r="R26">
        <f>IF(UPPER(LEFT(TRIM(J26),1))="Y","yes",IF(UPPER(LEFT(TRIM(J26),1))="N","no",""))</f>
        <v/>
      </c>
      <c r="S26">
        <f>IF(F26&lt;3,F26*100,IF(OR(F26&lt;120,F26&gt;220),"",F26))</f>
        <v/>
      </c>
      <c r="T26">
        <f>IF(OR(G26&lt;30,G26&gt;250),"",G26)</f>
        <v/>
      </c>
      <c r="U26">
        <f>IF(OR(H26=-99,H26&lt;70,H26&gt;260),"",H26)</f>
        <v/>
      </c>
      <c r="V26">
        <f>IF(OR(I26&lt;40,I26&gt;150),"",I26)</f>
        <v/>
      </c>
      <c r="W26">
        <f>IF(AND(U26&lt;&gt;"",V26&lt;&gt;""),IF(V26&gt;=U26,1,0),0)</f>
        <v/>
      </c>
      <c r="X26">
        <f>IF(W26=1,"",U26)</f>
        <v/>
      </c>
      <c r="Y26">
        <f>IF(W26=1,"",V26)</f>
        <v/>
      </c>
      <c r="Z26">
        <f>IF(Q26="M","",K26)</f>
        <v/>
      </c>
      <c r="AA26" s="4">
        <f>IF(D26&gt;E26,"",D26)</f>
        <v/>
      </c>
      <c r="AB26">
        <f>IF(AA26="","",DATEDIF(AA26,E26,"y"))</f>
        <v/>
      </c>
      <c r="AC26">
        <f>IF(AND(P26=1,OR(AB26="",AB26&gt;=18)),1,0)</f>
        <v/>
      </c>
      <c r="AD26">
        <f>IF(OR(S26="",T26=""),"",T26/(S26/100)^2)</f>
        <v/>
      </c>
      <c r="AE26">
        <f>IF(AB26="","",IF(AB26&lt;40,1,IF(AB26&lt;60,2,3)))</f>
        <v/>
      </c>
      <c r="AF26">
        <f>COUNTIF(labs!$A$2:$A$84,B26)</f>
        <v/>
      </c>
      <c r="AG26">
        <f>IF(AF26=0,"",AVERAGEIF(labs!$A$2:$A$84,B26,labs!$C$2:$C$84))</f>
        <v/>
      </c>
    </row>
    <row r="27">
      <c r="A27" t="n">
        <v>26</v>
      </c>
      <c r="B27" t="n">
        <v>26</v>
      </c>
      <c r="C27" t="inlineStr">
        <is>
          <t>M</t>
        </is>
      </c>
      <c r="D27" s="4" t="n">
        <v>35720</v>
      </c>
      <c r="E27" s="4" t="n">
        <v>45718</v>
      </c>
      <c r="F27" t="n">
        <v>178</v>
      </c>
      <c r="G27" t="n">
        <v>102.7</v>
      </c>
      <c r="H27" t="n">
        <v>157</v>
      </c>
      <c r="I27" t="n">
        <v>89</v>
      </c>
      <c r="J27" t="inlineStr">
        <is>
          <t>no</t>
        </is>
      </c>
      <c r="L27" t="n">
        <v>5.8</v>
      </c>
      <c r="M27">
        <f>A27&amp;"|"&amp;B27&amp;"|"&amp;C27&amp;"|"&amp;D27&amp;"|"&amp;E27&amp;"|"&amp;F27&amp;"|"&amp;G27&amp;"|"&amp;H27&amp;"|"&amp;I27&amp;"|"&amp;J27&amp;"|"&amp;K27&amp;"|"&amp;L27</f>
        <v/>
      </c>
      <c r="N27">
        <f>IF(COUNTIF(M$2:M27,M27)&gt;1,1,0)</f>
        <v/>
      </c>
      <c r="O27">
        <f>IF(AND(N27=0,COUNTIFS(B$2:B$43,B27,N$2:N$43,0,A$2:A$43,"&lt;"&amp;A27)&gt;0),1,0)</f>
        <v/>
      </c>
      <c r="P27">
        <f>IF(N27+O27=0,1,0)</f>
        <v/>
      </c>
      <c r="Q27">
        <f>UPPER(LEFT(TRIM(C27),1))</f>
        <v/>
      </c>
      <c r="R27">
        <f>IF(UPPER(LEFT(TRIM(J27),1))="Y","yes",IF(UPPER(LEFT(TRIM(J27),1))="N","no",""))</f>
        <v/>
      </c>
      <c r="S27">
        <f>IF(F27&lt;3,F27*100,IF(OR(F27&lt;120,F27&gt;220),"",F27))</f>
        <v/>
      </c>
      <c r="T27">
        <f>IF(OR(G27&lt;30,G27&gt;250),"",G27)</f>
        <v/>
      </c>
      <c r="U27">
        <f>IF(OR(H27=-99,H27&lt;70,H27&gt;260),"",H27)</f>
        <v/>
      </c>
      <c r="V27">
        <f>IF(OR(I27&lt;40,I27&gt;150),"",I27)</f>
        <v/>
      </c>
      <c r="W27">
        <f>IF(AND(U27&lt;&gt;"",V27&lt;&gt;""),IF(V27&gt;=U27,1,0),0)</f>
        <v/>
      </c>
      <c r="X27">
        <f>IF(W27=1,"",U27)</f>
        <v/>
      </c>
      <c r="Y27">
        <f>IF(W27=1,"",V27)</f>
        <v/>
      </c>
      <c r="Z27">
        <f>IF(Q27="M","",K27)</f>
        <v/>
      </c>
      <c r="AA27" s="4">
        <f>IF(D27&gt;E27,"",D27)</f>
        <v/>
      </c>
      <c r="AB27">
        <f>IF(AA27="","",DATEDIF(AA27,E27,"y"))</f>
        <v/>
      </c>
      <c r="AC27">
        <f>IF(AND(P27=1,OR(AB27="",AB27&gt;=18)),1,0)</f>
        <v/>
      </c>
      <c r="AD27">
        <f>IF(OR(S27="",T27=""),"",T27/(S27/100)^2)</f>
        <v/>
      </c>
      <c r="AE27">
        <f>IF(AB27="","",IF(AB27&lt;40,1,IF(AB27&lt;60,2,3)))</f>
        <v/>
      </c>
      <c r="AF27">
        <f>COUNTIF(labs!$A$2:$A$84,B27)</f>
        <v/>
      </c>
      <c r="AG27">
        <f>IF(AF27=0,"",AVERAGEIF(labs!$A$2:$A$84,B27,labs!$C$2:$C$84))</f>
        <v/>
      </c>
    </row>
    <row r="28">
      <c r="A28" t="n">
        <v>27</v>
      </c>
      <c r="B28" t="n">
        <v>27</v>
      </c>
      <c r="C28" t="inlineStr">
        <is>
          <t>M</t>
        </is>
      </c>
      <c r="D28" s="4" t="n">
        <v>29163</v>
      </c>
      <c r="E28" s="4" t="n">
        <v>45722</v>
      </c>
      <c r="F28" t="n">
        <v>170</v>
      </c>
      <c r="G28" t="n">
        <v>54.3</v>
      </c>
      <c r="H28" t="n">
        <v>139</v>
      </c>
      <c r="I28" t="n">
        <v>83</v>
      </c>
      <c r="J28" t="inlineStr">
        <is>
          <t>yes</t>
        </is>
      </c>
      <c r="L28" t="n">
        <v>7.5</v>
      </c>
      <c r="M28">
        <f>A28&amp;"|"&amp;B28&amp;"|"&amp;C28&amp;"|"&amp;D28&amp;"|"&amp;E28&amp;"|"&amp;F28&amp;"|"&amp;G28&amp;"|"&amp;H28&amp;"|"&amp;I28&amp;"|"&amp;J28&amp;"|"&amp;K28&amp;"|"&amp;L28</f>
        <v/>
      </c>
      <c r="N28">
        <f>IF(COUNTIF(M$2:M28,M28)&gt;1,1,0)</f>
        <v/>
      </c>
      <c r="O28">
        <f>IF(AND(N28=0,COUNTIFS(B$2:B$43,B28,N$2:N$43,0,A$2:A$43,"&lt;"&amp;A28)&gt;0),1,0)</f>
        <v/>
      </c>
      <c r="P28">
        <f>IF(N28+O28=0,1,0)</f>
        <v/>
      </c>
      <c r="Q28">
        <f>UPPER(LEFT(TRIM(C28),1))</f>
        <v/>
      </c>
      <c r="R28">
        <f>IF(UPPER(LEFT(TRIM(J28),1))="Y","yes",IF(UPPER(LEFT(TRIM(J28),1))="N","no",""))</f>
        <v/>
      </c>
      <c r="S28">
        <f>IF(F28&lt;3,F28*100,IF(OR(F28&lt;120,F28&gt;220),"",F28))</f>
        <v/>
      </c>
      <c r="T28">
        <f>IF(OR(G28&lt;30,G28&gt;250),"",G28)</f>
        <v/>
      </c>
      <c r="U28">
        <f>IF(OR(H28=-99,H28&lt;70,H28&gt;260),"",H28)</f>
        <v/>
      </c>
      <c r="V28">
        <f>IF(OR(I28&lt;40,I28&gt;150),"",I28)</f>
        <v/>
      </c>
      <c r="W28">
        <f>IF(AND(U28&lt;&gt;"",V28&lt;&gt;""),IF(V28&gt;=U28,1,0),0)</f>
        <v/>
      </c>
      <c r="X28">
        <f>IF(W28=1,"",U28)</f>
        <v/>
      </c>
      <c r="Y28">
        <f>IF(W28=1,"",V28)</f>
        <v/>
      </c>
      <c r="Z28">
        <f>IF(Q28="M","",K28)</f>
        <v/>
      </c>
      <c r="AA28" s="4">
        <f>IF(D28&gt;E28,"",D28)</f>
        <v/>
      </c>
      <c r="AB28">
        <f>IF(AA28="","",DATEDIF(AA28,E28,"y"))</f>
        <v/>
      </c>
      <c r="AC28">
        <f>IF(AND(P28=1,OR(AB28="",AB28&gt;=18)),1,0)</f>
        <v/>
      </c>
      <c r="AD28">
        <f>IF(OR(S28="",T28=""),"",T28/(S28/100)^2)</f>
        <v/>
      </c>
      <c r="AE28">
        <f>IF(AB28="","",IF(AB28&lt;40,1,IF(AB28&lt;60,2,3)))</f>
        <v/>
      </c>
      <c r="AF28">
        <f>COUNTIF(labs!$A$2:$A$84,B28)</f>
        <v/>
      </c>
      <c r="AG28">
        <f>IF(AF28=0,"",AVERAGEIF(labs!$A$2:$A$84,B28,labs!$C$2:$C$84))</f>
        <v/>
      </c>
    </row>
    <row r="29">
      <c r="A29" t="n">
        <v>28</v>
      </c>
      <c r="B29" t="n">
        <v>28</v>
      </c>
      <c r="C29" t="inlineStr">
        <is>
          <t>M</t>
        </is>
      </c>
      <c r="D29" s="4" t="n">
        <v>34512</v>
      </c>
      <c r="E29" s="4" t="n">
        <v>45867</v>
      </c>
      <c r="F29" t="n">
        <v>173</v>
      </c>
      <c r="G29" t="n">
        <v>86.5</v>
      </c>
      <c r="H29" t="n">
        <v>166</v>
      </c>
      <c r="I29" t="n">
        <v>104</v>
      </c>
      <c r="J29" t="inlineStr">
        <is>
          <t>no</t>
        </is>
      </c>
      <c r="L29" t="n">
        <v>7.1</v>
      </c>
      <c r="M29">
        <f>A29&amp;"|"&amp;B29&amp;"|"&amp;C29&amp;"|"&amp;D29&amp;"|"&amp;E29&amp;"|"&amp;F29&amp;"|"&amp;G29&amp;"|"&amp;H29&amp;"|"&amp;I29&amp;"|"&amp;J29&amp;"|"&amp;K29&amp;"|"&amp;L29</f>
        <v/>
      </c>
      <c r="N29">
        <f>IF(COUNTIF(M$2:M29,M29)&gt;1,1,0)</f>
        <v/>
      </c>
      <c r="O29">
        <f>IF(AND(N29=0,COUNTIFS(B$2:B$43,B29,N$2:N$43,0,A$2:A$43,"&lt;"&amp;A29)&gt;0),1,0)</f>
        <v/>
      </c>
      <c r="P29">
        <f>IF(N29+O29=0,1,0)</f>
        <v/>
      </c>
      <c r="Q29">
        <f>UPPER(LEFT(TRIM(C29),1))</f>
        <v/>
      </c>
      <c r="R29">
        <f>IF(UPPER(LEFT(TRIM(J29),1))="Y","yes",IF(UPPER(LEFT(TRIM(J29),1))="N","no",""))</f>
        <v/>
      </c>
      <c r="S29">
        <f>IF(F29&lt;3,F29*100,IF(OR(F29&lt;120,F29&gt;220),"",F29))</f>
        <v/>
      </c>
      <c r="T29">
        <f>IF(OR(G29&lt;30,G29&gt;250),"",G29)</f>
        <v/>
      </c>
      <c r="U29">
        <f>IF(OR(H29=-99,H29&lt;70,H29&gt;260),"",H29)</f>
        <v/>
      </c>
      <c r="V29">
        <f>IF(OR(I29&lt;40,I29&gt;150),"",I29)</f>
        <v/>
      </c>
      <c r="W29">
        <f>IF(AND(U29&lt;&gt;"",V29&lt;&gt;""),IF(V29&gt;=U29,1,0),0)</f>
        <v/>
      </c>
      <c r="X29">
        <f>IF(W29=1,"",U29)</f>
        <v/>
      </c>
      <c r="Y29">
        <f>IF(W29=1,"",V29)</f>
        <v/>
      </c>
      <c r="Z29">
        <f>IF(Q29="M","",K29)</f>
        <v/>
      </c>
      <c r="AA29" s="4">
        <f>IF(D29&gt;E29,"",D29)</f>
        <v/>
      </c>
      <c r="AB29">
        <f>IF(AA29="","",DATEDIF(AA29,E29,"y"))</f>
        <v/>
      </c>
      <c r="AC29">
        <f>IF(AND(P29=1,OR(AB29="",AB29&gt;=18)),1,0)</f>
        <v/>
      </c>
      <c r="AD29">
        <f>IF(OR(S29="",T29=""),"",T29/(S29/100)^2)</f>
        <v/>
      </c>
      <c r="AE29">
        <f>IF(AB29="","",IF(AB29&lt;40,1,IF(AB29&lt;60,2,3)))</f>
        <v/>
      </c>
      <c r="AF29">
        <f>COUNTIF(labs!$A$2:$A$84,B29)</f>
        <v/>
      </c>
      <c r="AG29">
        <f>IF(AF29=0,"",AVERAGEIF(labs!$A$2:$A$84,B29,labs!$C$2:$C$84))</f>
        <v/>
      </c>
    </row>
    <row r="30">
      <c r="A30" t="n">
        <v>29</v>
      </c>
      <c r="B30" t="n">
        <v>29</v>
      </c>
      <c r="C30" t="inlineStr">
        <is>
          <t>M</t>
        </is>
      </c>
      <c r="D30" s="4" t="n">
        <v>35670</v>
      </c>
      <c r="E30" s="4" t="n">
        <v>45940</v>
      </c>
      <c r="F30" t="n">
        <v>186</v>
      </c>
      <c r="G30" t="n">
        <v>87.40000000000001</v>
      </c>
      <c r="H30" t="n">
        <v>153</v>
      </c>
      <c r="I30" t="n">
        <v>90</v>
      </c>
      <c r="J30" t="inlineStr">
        <is>
          <t>no</t>
        </is>
      </c>
      <c r="M30">
        <f>A30&amp;"|"&amp;B30&amp;"|"&amp;C30&amp;"|"&amp;D30&amp;"|"&amp;E30&amp;"|"&amp;F30&amp;"|"&amp;G30&amp;"|"&amp;H30&amp;"|"&amp;I30&amp;"|"&amp;J30&amp;"|"&amp;K30&amp;"|"&amp;L30</f>
        <v/>
      </c>
      <c r="N30">
        <f>IF(COUNTIF(M$2:M30,M30)&gt;1,1,0)</f>
        <v/>
      </c>
      <c r="O30">
        <f>IF(AND(N30=0,COUNTIFS(B$2:B$43,B30,N$2:N$43,0,A$2:A$43,"&lt;"&amp;A30)&gt;0),1,0)</f>
        <v/>
      </c>
      <c r="P30">
        <f>IF(N30+O30=0,1,0)</f>
        <v/>
      </c>
      <c r="Q30">
        <f>UPPER(LEFT(TRIM(C30),1))</f>
        <v/>
      </c>
      <c r="R30">
        <f>IF(UPPER(LEFT(TRIM(J30),1))="Y","yes",IF(UPPER(LEFT(TRIM(J30),1))="N","no",""))</f>
        <v/>
      </c>
      <c r="S30">
        <f>IF(F30&lt;3,F30*100,IF(OR(F30&lt;120,F30&gt;220),"",F30))</f>
        <v/>
      </c>
      <c r="T30">
        <f>IF(OR(G30&lt;30,G30&gt;250),"",G30)</f>
        <v/>
      </c>
      <c r="U30">
        <f>IF(OR(H30=-99,H30&lt;70,H30&gt;260),"",H30)</f>
        <v/>
      </c>
      <c r="V30">
        <f>IF(OR(I30&lt;40,I30&gt;150),"",I30)</f>
        <v/>
      </c>
      <c r="W30">
        <f>IF(AND(U30&lt;&gt;"",V30&lt;&gt;""),IF(V30&gt;=U30,1,0),0)</f>
        <v/>
      </c>
      <c r="X30">
        <f>IF(W30=1,"",U30)</f>
        <v/>
      </c>
      <c r="Y30">
        <f>IF(W30=1,"",V30)</f>
        <v/>
      </c>
      <c r="Z30">
        <f>IF(Q30="M","",K30)</f>
        <v/>
      </c>
      <c r="AA30" s="4">
        <f>IF(D30&gt;E30,"",D30)</f>
        <v/>
      </c>
      <c r="AB30">
        <f>IF(AA30="","",DATEDIF(AA30,E30,"y"))</f>
        <v/>
      </c>
      <c r="AC30">
        <f>IF(AND(P30=1,OR(AB30="",AB30&gt;=18)),1,0)</f>
        <v/>
      </c>
      <c r="AD30">
        <f>IF(OR(S30="",T30=""),"",T30/(S30/100)^2)</f>
        <v/>
      </c>
      <c r="AE30">
        <f>IF(AB30="","",IF(AB30&lt;40,1,IF(AB30&lt;60,2,3)))</f>
        <v/>
      </c>
      <c r="AF30">
        <f>COUNTIF(labs!$A$2:$A$84,B30)</f>
        <v/>
      </c>
      <c r="AG30">
        <f>IF(AF30=0,"",AVERAGEIF(labs!$A$2:$A$84,B30,labs!$C$2:$C$84))</f>
        <v/>
      </c>
    </row>
    <row r="31">
      <c r="A31" t="n">
        <v>30</v>
      </c>
      <c r="B31" t="n">
        <v>30</v>
      </c>
      <c r="C31" t="inlineStr">
        <is>
          <t>f</t>
        </is>
      </c>
      <c r="D31" s="4" t="n">
        <v>32257</v>
      </c>
      <c r="E31" s="4" t="n">
        <v>45868</v>
      </c>
      <c r="F31" t="n">
        <v>162</v>
      </c>
      <c r="G31" t="n">
        <v>78</v>
      </c>
      <c r="H31" t="n">
        <v>163</v>
      </c>
      <c r="I31" t="n">
        <v>100</v>
      </c>
      <c r="J31" t="inlineStr">
        <is>
          <t>no</t>
        </is>
      </c>
      <c r="K31" t="inlineStr">
        <is>
          <t>no</t>
        </is>
      </c>
      <c r="L31" t="n">
        <v>7.4</v>
      </c>
      <c r="M31">
        <f>A31&amp;"|"&amp;B31&amp;"|"&amp;C31&amp;"|"&amp;D31&amp;"|"&amp;E31&amp;"|"&amp;F31&amp;"|"&amp;G31&amp;"|"&amp;H31&amp;"|"&amp;I31&amp;"|"&amp;J31&amp;"|"&amp;K31&amp;"|"&amp;L31</f>
        <v/>
      </c>
      <c r="N31">
        <f>IF(COUNTIF(M$2:M31,M31)&gt;1,1,0)</f>
        <v/>
      </c>
      <c r="O31">
        <f>IF(AND(N31=0,COUNTIFS(B$2:B$43,B31,N$2:N$43,0,A$2:A$43,"&lt;"&amp;A31)&gt;0),1,0)</f>
        <v/>
      </c>
      <c r="P31">
        <f>IF(N31+O31=0,1,0)</f>
        <v/>
      </c>
      <c r="Q31">
        <f>UPPER(LEFT(TRIM(C31),1))</f>
        <v/>
      </c>
      <c r="R31">
        <f>IF(UPPER(LEFT(TRIM(J31),1))="Y","yes",IF(UPPER(LEFT(TRIM(J31),1))="N","no",""))</f>
        <v/>
      </c>
      <c r="S31">
        <f>IF(F31&lt;3,F31*100,IF(OR(F31&lt;120,F31&gt;220),"",F31))</f>
        <v/>
      </c>
      <c r="T31">
        <f>IF(OR(G31&lt;30,G31&gt;250),"",G31)</f>
        <v/>
      </c>
      <c r="U31">
        <f>IF(OR(H31=-99,H31&lt;70,H31&gt;260),"",H31)</f>
        <v/>
      </c>
      <c r="V31">
        <f>IF(OR(I31&lt;40,I31&gt;150),"",I31)</f>
        <v/>
      </c>
      <c r="W31">
        <f>IF(AND(U31&lt;&gt;"",V31&lt;&gt;""),IF(V31&gt;=U31,1,0),0)</f>
        <v/>
      </c>
      <c r="X31">
        <f>IF(W31=1,"",U31)</f>
        <v/>
      </c>
      <c r="Y31">
        <f>IF(W31=1,"",V31)</f>
        <v/>
      </c>
      <c r="Z31">
        <f>IF(Q31="M","",K31)</f>
        <v/>
      </c>
      <c r="AA31" s="4">
        <f>IF(D31&gt;E31,"",D31)</f>
        <v/>
      </c>
      <c r="AB31">
        <f>IF(AA31="","",DATEDIF(AA31,E31,"y"))</f>
        <v/>
      </c>
      <c r="AC31">
        <f>IF(AND(P31=1,OR(AB31="",AB31&gt;=18)),1,0)</f>
        <v/>
      </c>
      <c r="AD31">
        <f>IF(OR(S31="",T31=""),"",T31/(S31/100)^2)</f>
        <v/>
      </c>
      <c r="AE31">
        <f>IF(AB31="","",IF(AB31&lt;40,1,IF(AB31&lt;60,2,3)))</f>
        <v/>
      </c>
      <c r="AF31">
        <f>COUNTIF(labs!$A$2:$A$84,B31)</f>
        <v/>
      </c>
      <c r="AG31">
        <f>IF(AF31=0,"",AVERAGEIF(labs!$A$2:$A$84,B31,labs!$C$2:$C$84))</f>
        <v/>
      </c>
    </row>
    <row r="32">
      <c r="A32" t="n">
        <v>31</v>
      </c>
      <c r="B32" t="n">
        <v>31</v>
      </c>
      <c r="C32" t="inlineStr">
        <is>
          <t>M</t>
        </is>
      </c>
      <c r="D32" s="4" t="n">
        <v>27933</v>
      </c>
      <c r="E32" s="4" t="n">
        <v>45709</v>
      </c>
      <c r="F32" t="n">
        <v>173</v>
      </c>
      <c r="G32" t="n">
        <v>62.8</v>
      </c>
      <c r="H32" t="n">
        <v>-99</v>
      </c>
      <c r="I32" t="n">
        <v>73</v>
      </c>
      <c r="J32" t="inlineStr">
        <is>
          <t>no</t>
        </is>
      </c>
      <c r="L32" t="n">
        <v>7.2</v>
      </c>
      <c r="M32">
        <f>A32&amp;"|"&amp;B32&amp;"|"&amp;C32&amp;"|"&amp;D32&amp;"|"&amp;E32&amp;"|"&amp;F32&amp;"|"&amp;G32&amp;"|"&amp;H32&amp;"|"&amp;I32&amp;"|"&amp;J32&amp;"|"&amp;K32&amp;"|"&amp;L32</f>
        <v/>
      </c>
      <c r="N32">
        <f>IF(COUNTIF(M$2:M32,M32)&gt;1,1,0)</f>
        <v/>
      </c>
      <c r="O32">
        <f>IF(AND(N32=0,COUNTIFS(B$2:B$43,B32,N$2:N$43,0,A$2:A$43,"&lt;"&amp;A32)&gt;0),1,0)</f>
        <v/>
      </c>
      <c r="P32">
        <f>IF(N32+O32=0,1,0)</f>
        <v/>
      </c>
      <c r="Q32">
        <f>UPPER(LEFT(TRIM(C32),1))</f>
        <v/>
      </c>
      <c r="R32">
        <f>IF(UPPER(LEFT(TRIM(J32),1))="Y","yes",IF(UPPER(LEFT(TRIM(J32),1))="N","no",""))</f>
        <v/>
      </c>
      <c r="S32">
        <f>IF(F32&lt;3,F32*100,IF(OR(F32&lt;120,F32&gt;220),"",F32))</f>
        <v/>
      </c>
      <c r="T32">
        <f>IF(OR(G32&lt;30,G32&gt;250),"",G32)</f>
        <v/>
      </c>
      <c r="U32">
        <f>IF(OR(H32=-99,H32&lt;70,H32&gt;260),"",H32)</f>
        <v/>
      </c>
      <c r="V32">
        <f>IF(OR(I32&lt;40,I32&gt;150),"",I32)</f>
        <v/>
      </c>
      <c r="W32">
        <f>IF(AND(U32&lt;&gt;"",V32&lt;&gt;""),IF(V32&gt;=U32,1,0),0)</f>
        <v/>
      </c>
      <c r="X32">
        <f>IF(W32=1,"",U32)</f>
        <v/>
      </c>
      <c r="Y32">
        <f>IF(W32=1,"",V32)</f>
        <v/>
      </c>
      <c r="Z32">
        <f>IF(Q32="M","",K32)</f>
        <v/>
      </c>
      <c r="AA32" s="4">
        <f>IF(D32&gt;E32,"",D32)</f>
        <v/>
      </c>
      <c r="AB32">
        <f>IF(AA32="","",DATEDIF(AA32,E32,"y"))</f>
        <v/>
      </c>
      <c r="AC32">
        <f>IF(AND(P32=1,OR(AB32="",AB32&gt;=18)),1,0)</f>
        <v/>
      </c>
      <c r="AD32">
        <f>IF(OR(S32="",T32=""),"",T32/(S32/100)^2)</f>
        <v/>
      </c>
      <c r="AE32">
        <f>IF(AB32="","",IF(AB32&lt;40,1,IF(AB32&lt;60,2,3)))</f>
        <v/>
      </c>
      <c r="AF32">
        <f>COUNTIF(labs!$A$2:$A$84,B32)</f>
        <v/>
      </c>
      <c r="AG32">
        <f>IF(AF32=0,"",AVERAGEIF(labs!$A$2:$A$84,B32,labs!$C$2:$C$84))</f>
        <v/>
      </c>
    </row>
    <row r="33">
      <c r="A33" t="n">
        <v>32</v>
      </c>
      <c r="B33" t="n">
        <v>32</v>
      </c>
      <c r="C33" t="inlineStr">
        <is>
          <t>F</t>
        </is>
      </c>
      <c r="D33" s="4" t="n">
        <v>23993</v>
      </c>
      <c r="E33" s="4" t="n">
        <v>45883</v>
      </c>
      <c r="F33" t="n">
        <v>146</v>
      </c>
      <c r="G33" t="n">
        <v>62.2</v>
      </c>
      <c r="H33" t="n">
        <v>138</v>
      </c>
      <c r="I33" t="n">
        <v>90</v>
      </c>
      <c r="J33" t="inlineStr">
        <is>
          <t>Yes</t>
        </is>
      </c>
      <c r="K33" t="inlineStr">
        <is>
          <t>no</t>
        </is>
      </c>
      <c r="L33" t="n">
        <v>7.6</v>
      </c>
      <c r="M33">
        <f>A33&amp;"|"&amp;B33&amp;"|"&amp;C33&amp;"|"&amp;D33&amp;"|"&amp;E33&amp;"|"&amp;F33&amp;"|"&amp;G33&amp;"|"&amp;H33&amp;"|"&amp;I33&amp;"|"&amp;J33&amp;"|"&amp;K33&amp;"|"&amp;L33</f>
        <v/>
      </c>
      <c r="N33">
        <f>IF(COUNTIF(M$2:M33,M33)&gt;1,1,0)</f>
        <v/>
      </c>
      <c r="O33">
        <f>IF(AND(N33=0,COUNTIFS(B$2:B$43,B33,N$2:N$43,0,A$2:A$43,"&lt;"&amp;A33)&gt;0),1,0)</f>
        <v/>
      </c>
      <c r="P33">
        <f>IF(N33+O33=0,1,0)</f>
        <v/>
      </c>
      <c r="Q33">
        <f>UPPER(LEFT(TRIM(C33),1))</f>
        <v/>
      </c>
      <c r="R33">
        <f>IF(UPPER(LEFT(TRIM(J33),1))="Y","yes",IF(UPPER(LEFT(TRIM(J33),1))="N","no",""))</f>
        <v/>
      </c>
      <c r="S33">
        <f>IF(F33&lt;3,F33*100,IF(OR(F33&lt;120,F33&gt;220),"",F33))</f>
        <v/>
      </c>
      <c r="T33">
        <f>IF(OR(G33&lt;30,G33&gt;250),"",G33)</f>
        <v/>
      </c>
      <c r="U33">
        <f>IF(OR(H33=-99,H33&lt;70,H33&gt;260),"",H33)</f>
        <v/>
      </c>
      <c r="V33">
        <f>IF(OR(I33&lt;40,I33&gt;150),"",I33)</f>
        <v/>
      </c>
      <c r="W33">
        <f>IF(AND(U33&lt;&gt;"",V33&lt;&gt;""),IF(V33&gt;=U33,1,0),0)</f>
        <v/>
      </c>
      <c r="X33">
        <f>IF(W33=1,"",U33)</f>
        <v/>
      </c>
      <c r="Y33">
        <f>IF(W33=1,"",V33)</f>
        <v/>
      </c>
      <c r="Z33">
        <f>IF(Q33="M","",K33)</f>
        <v/>
      </c>
      <c r="AA33" s="4">
        <f>IF(D33&gt;E33,"",D33)</f>
        <v/>
      </c>
      <c r="AB33">
        <f>IF(AA33="","",DATEDIF(AA33,E33,"y"))</f>
        <v/>
      </c>
      <c r="AC33">
        <f>IF(AND(P33=1,OR(AB33="",AB33&gt;=18)),1,0)</f>
        <v/>
      </c>
      <c r="AD33">
        <f>IF(OR(S33="",T33=""),"",T33/(S33/100)^2)</f>
        <v/>
      </c>
      <c r="AE33">
        <f>IF(AB33="","",IF(AB33&lt;40,1,IF(AB33&lt;60,2,3)))</f>
        <v/>
      </c>
      <c r="AF33">
        <f>COUNTIF(labs!$A$2:$A$84,B33)</f>
        <v/>
      </c>
      <c r="AG33">
        <f>IF(AF33=0,"",AVERAGEIF(labs!$A$2:$A$84,B33,labs!$C$2:$C$84))</f>
        <v/>
      </c>
    </row>
    <row r="34">
      <c r="A34" t="n">
        <v>33</v>
      </c>
      <c r="B34" t="n">
        <v>33</v>
      </c>
      <c r="C34" t="inlineStr">
        <is>
          <t>F</t>
        </is>
      </c>
      <c r="D34" s="4" t="n">
        <v>36323</v>
      </c>
      <c r="E34" s="4" t="n">
        <v>45711</v>
      </c>
      <c r="F34" t="n">
        <v>168</v>
      </c>
      <c r="G34" t="n">
        <v>69</v>
      </c>
      <c r="H34" t="n">
        <v>129</v>
      </c>
      <c r="I34" t="n">
        <v>80</v>
      </c>
      <c r="J34" t="inlineStr">
        <is>
          <t>no</t>
        </is>
      </c>
      <c r="K34" t="inlineStr">
        <is>
          <t>yes</t>
        </is>
      </c>
      <c r="L34" t="n">
        <v>6.3</v>
      </c>
      <c r="M34">
        <f>A34&amp;"|"&amp;B34&amp;"|"&amp;C34&amp;"|"&amp;D34&amp;"|"&amp;E34&amp;"|"&amp;F34&amp;"|"&amp;G34&amp;"|"&amp;H34&amp;"|"&amp;I34&amp;"|"&amp;J34&amp;"|"&amp;K34&amp;"|"&amp;L34</f>
        <v/>
      </c>
      <c r="N34">
        <f>IF(COUNTIF(M$2:M34,M34)&gt;1,1,0)</f>
        <v/>
      </c>
      <c r="O34">
        <f>IF(AND(N34=0,COUNTIFS(B$2:B$43,B34,N$2:N$43,0,A$2:A$43,"&lt;"&amp;A34)&gt;0),1,0)</f>
        <v/>
      </c>
      <c r="P34">
        <f>IF(N34+O34=0,1,0)</f>
        <v/>
      </c>
      <c r="Q34">
        <f>UPPER(LEFT(TRIM(C34),1))</f>
        <v/>
      </c>
      <c r="R34">
        <f>IF(UPPER(LEFT(TRIM(J34),1))="Y","yes",IF(UPPER(LEFT(TRIM(J34),1))="N","no",""))</f>
        <v/>
      </c>
      <c r="S34">
        <f>IF(F34&lt;3,F34*100,IF(OR(F34&lt;120,F34&gt;220),"",F34))</f>
        <v/>
      </c>
      <c r="T34">
        <f>IF(OR(G34&lt;30,G34&gt;250),"",G34)</f>
        <v/>
      </c>
      <c r="U34">
        <f>IF(OR(H34=-99,H34&lt;70,H34&gt;260),"",H34)</f>
        <v/>
      </c>
      <c r="V34">
        <f>IF(OR(I34&lt;40,I34&gt;150),"",I34)</f>
        <v/>
      </c>
      <c r="W34">
        <f>IF(AND(U34&lt;&gt;"",V34&lt;&gt;""),IF(V34&gt;=U34,1,0),0)</f>
        <v/>
      </c>
      <c r="X34">
        <f>IF(W34=1,"",U34)</f>
        <v/>
      </c>
      <c r="Y34">
        <f>IF(W34=1,"",V34)</f>
        <v/>
      </c>
      <c r="Z34">
        <f>IF(Q34="M","",K34)</f>
        <v/>
      </c>
      <c r="AA34" s="4">
        <f>IF(D34&gt;E34,"",D34)</f>
        <v/>
      </c>
      <c r="AB34">
        <f>IF(AA34="","",DATEDIF(AA34,E34,"y"))</f>
        <v/>
      </c>
      <c r="AC34">
        <f>IF(AND(P34=1,OR(AB34="",AB34&gt;=18)),1,0)</f>
        <v/>
      </c>
      <c r="AD34">
        <f>IF(OR(S34="",T34=""),"",T34/(S34/100)^2)</f>
        <v/>
      </c>
      <c r="AE34">
        <f>IF(AB34="","",IF(AB34&lt;40,1,IF(AB34&lt;60,2,3)))</f>
        <v/>
      </c>
      <c r="AF34">
        <f>COUNTIF(labs!$A$2:$A$84,B34)</f>
        <v/>
      </c>
      <c r="AG34">
        <f>IF(AF34=0,"",AVERAGEIF(labs!$A$2:$A$84,B34,labs!$C$2:$C$84))</f>
        <v/>
      </c>
    </row>
    <row r="35">
      <c r="A35" t="n">
        <v>34</v>
      </c>
      <c r="B35" t="n">
        <v>34</v>
      </c>
      <c r="C35" t="inlineStr">
        <is>
          <t>F</t>
        </is>
      </c>
      <c r="D35" s="4" t="n">
        <v>30079</v>
      </c>
      <c r="E35" s="4" t="n">
        <v>45808</v>
      </c>
      <c r="F35" t="n">
        <v>151</v>
      </c>
      <c r="G35" t="n">
        <v>65.3</v>
      </c>
      <c r="H35" t="n">
        <v>125</v>
      </c>
      <c r="I35" t="n">
        <v>72</v>
      </c>
      <c r="J35" t="inlineStr">
        <is>
          <t>no</t>
        </is>
      </c>
      <c r="K35" t="inlineStr">
        <is>
          <t>no</t>
        </is>
      </c>
      <c r="L35" t="n">
        <v>6.6</v>
      </c>
      <c r="M35">
        <f>A35&amp;"|"&amp;B35&amp;"|"&amp;C35&amp;"|"&amp;D35&amp;"|"&amp;E35&amp;"|"&amp;F35&amp;"|"&amp;G35&amp;"|"&amp;H35&amp;"|"&amp;I35&amp;"|"&amp;J35&amp;"|"&amp;K35&amp;"|"&amp;L35</f>
        <v/>
      </c>
      <c r="N35">
        <f>IF(COUNTIF(M$2:M35,M35)&gt;1,1,0)</f>
        <v/>
      </c>
      <c r="O35">
        <f>IF(AND(N35=0,COUNTIFS(B$2:B$43,B35,N$2:N$43,0,A$2:A$43,"&lt;"&amp;A35)&gt;0),1,0)</f>
        <v/>
      </c>
      <c r="P35">
        <f>IF(N35+O35=0,1,0)</f>
        <v/>
      </c>
      <c r="Q35">
        <f>UPPER(LEFT(TRIM(C35),1))</f>
        <v/>
      </c>
      <c r="R35">
        <f>IF(UPPER(LEFT(TRIM(J35),1))="Y","yes",IF(UPPER(LEFT(TRIM(J35),1))="N","no",""))</f>
        <v/>
      </c>
      <c r="S35">
        <f>IF(F35&lt;3,F35*100,IF(OR(F35&lt;120,F35&gt;220),"",F35))</f>
        <v/>
      </c>
      <c r="T35">
        <f>IF(OR(G35&lt;30,G35&gt;250),"",G35)</f>
        <v/>
      </c>
      <c r="U35">
        <f>IF(OR(H35=-99,H35&lt;70,H35&gt;260),"",H35)</f>
        <v/>
      </c>
      <c r="V35">
        <f>IF(OR(I35&lt;40,I35&gt;150),"",I35)</f>
        <v/>
      </c>
      <c r="W35">
        <f>IF(AND(U35&lt;&gt;"",V35&lt;&gt;""),IF(V35&gt;=U35,1,0),0)</f>
        <v/>
      </c>
      <c r="X35">
        <f>IF(W35=1,"",U35)</f>
        <v/>
      </c>
      <c r="Y35">
        <f>IF(W35=1,"",V35)</f>
        <v/>
      </c>
      <c r="Z35">
        <f>IF(Q35="M","",K35)</f>
        <v/>
      </c>
      <c r="AA35" s="4">
        <f>IF(D35&gt;E35,"",D35)</f>
        <v/>
      </c>
      <c r="AB35">
        <f>IF(AA35="","",DATEDIF(AA35,E35,"y"))</f>
        <v/>
      </c>
      <c r="AC35">
        <f>IF(AND(P35=1,OR(AB35="",AB35&gt;=18)),1,0)</f>
        <v/>
      </c>
      <c r="AD35">
        <f>IF(OR(S35="",T35=""),"",T35/(S35/100)^2)</f>
        <v/>
      </c>
      <c r="AE35">
        <f>IF(AB35="","",IF(AB35&lt;40,1,IF(AB35&lt;60,2,3)))</f>
        <v/>
      </c>
      <c r="AF35">
        <f>COUNTIF(labs!$A$2:$A$84,B35)</f>
        <v/>
      </c>
      <c r="AG35">
        <f>IF(AF35=0,"",AVERAGEIF(labs!$A$2:$A$84,B35,labs!$C$2:$C$84))</f>
        <v/>
      </c>
    </row>
    <row r="36">
      <c r="A36" t="n">
        <v>35</v>
      </c>
      <c r="B36" t="n">
        <v>35</v>
      </c>
      <c r="C36" t="inlineStr">
        <is>
          <t>F</t>
        </is>
      </c>
      <c r="D36" s="4" t="n">
        <v>47970</v>
      </c>
      <c r="E36" s="4" t="n">
        <v>45677</v>
      </c>
      <c r="F36" t="n">
        <v>163</v>
      </c>
      <c r="G36" t="n">
        <v>48.6</v>
      </c>
      <c r="H36" t="n">
        <v>154</v>
      </c>
      <c r="I36" t="n">
        <v>87</v>
      </c>
      <c r="J36" t="inlineStr">
        <is>
          <t>no</t>
        </is>
      </c>
      <c r="K36" t="inlineStr">
        <is>
          <t>no</t>
        </is>
      </c>
      <c r="L36" t="n">
        <v>6.3</v>
      </c>
      <c r="M36">
        <f>A36&amp;"|"&amp;B36&amp;"|"&amp;C36&amp;"|"&amp;D36&amp;"|"&amp;E36&amp;"|"&amp;F36&amp;"|"&amp;G36&amp;"|"&amp;H36&amp;"|"&amp;I36&amp;"|"&amp;J36&amp;"|"&amp;K36&amp;"|"&amp;L36</f>
        <v/>
      </c>
      <c r="N36">
        <f>IF(COUNTIF(M$2:M36,M36)&gt;1,1,0)</f>
        <v/>
      </c>
      <c r="O36">
        <f>IF(AND(N36=0,COUNTIFS(B$2:B$43,B36,N$2:N$43,0,A$2:A$43,"&lt;"&amp;A36)&gt;0),1,0)</f>
        <v/>
      </c>
      <c r="P36">
        <f>IF(N36+O36=0,1,0)</f>
        <v/>
      </c>
      <c r="Q36">
        <f>UPPER(LEFT(TRIM(C36),1))</f>
        <v/>
      </c>
      <c r="R36">
        <f>IF(UPPER(LEFT(TRIM(J36),1))="Y","yes",IF(UPPER(LEFT(TRIM(J36),1))="N","no",""))</f>
        <v/>
      </c>
      <c r="S36">
        <f>IF(F36&lt;3,F36*100,IF(OR(F36&lt;120,F36&gt;220),"",F36))</f>
        <v/>
      </c>
      <c r="T36">
        <f>IF(OR(G36&lt;30,G36&gt;250),"",G36)</f>
        <v/>
      </c>
      <c r="U36">
        <f>IF(OR(H36=-99,H36&lt;70,H36&gt;260),"",H36)</f>
        <v/>
      </c>
      <c r="V36">
        <f>IF(OR(I36&lt;40,I36&gt;150),"",I36)</f>
        <v/>
      </c>
      <c r="W36">
        <f>IF(AND(U36&lt;&gt;"",V36&lt;&gt;""),IF(V36&gt;=U36,1,0),0)</f>
        <v/>
      </c>
      <c r="X36">
        <f>IF(W36=1,"",U36)</f>
        <v/>
      </c>
      <c r="Y36">
        <f>IF(W36=1,"",V36)</f>
        <v/>
      </c>
      <c r="Z36">
        <f>IF(Q36="M","",K36)</f>
        <v/>
      </c>
      <c r="AA36" s="4">
        <f>IF(D36&gt;E36,"",D36)</f>
        <v/>
      </c>
      <c r="AB36">
        <f>IF(AA36="","",DATEDIF(AA36,E36,"y"))</f>
        <v/>
      </c>
      <c r="AC36">
        <f>IF(AND(P36=1,OR(AB36="",AB36&gt;=18)),1,0)</f>
        <v/>
      </c>
      <c r="AD36">
        <f>IF(OR(S36="",T36=""),"",T36/(S36/100)^2)</f>
        <v/>
      </c>
      <c r="AE36">
        <f>IF(AB36="","",IF(AB36&lt;40,1,IF(AB36&lt;60,2,3)))</f>
        <v/>
      </c>
      <c r="AF36">
        <f>COUNTIF(labs!$A$2:$A$84,B36)</f>
        <v/>
      </c>
      <c r="AG36">
        <f>IF(AF36=0,"",AVERAGEIF(labs!$A$2:$A$84,B36,labs!$C$2:$C$84))</f>
        <v/>
      </c>
    </row>
    <row r="37">
      <c r="A37" t="n">
        <v>36</v>
      </c>
      <c r="B37" t="n">
        <v>36</v>
      </c>
      <c r="C37" t="inlineStr">
        <is>
          <t>M</t>
        </is>
      </c>
      <c r="D37" s="4" t="n">
        <v>19549</v>
      </c>
      <c r="E37" s="4" t="n">
        <v>45958</v>
      </c>
      <c r="F37" t="n">
        <v>169</v>
      </c>
      <c r="G37" t="n">
        <v>107.1</v>
      </c>
      <c r="H37" t="n">
        <v>120</v>
      </c>
      <c r="I37" t="n">
        <v>67</v>
      </c>
      <c r="J37" t="inlineStr">
        <is>
          <t>no</t>
        </is>
      </c>
      <c r="L37" t="n">
        <v>6.5</v>
      </c>
      <c r="M37">
        <f>A37&amp;"|"&amp;B37&amp;"|"&amp;C37&amp;"|"&amp;D37&amp;"|"&amp;E37&amp;"|"&amp;F37&amp;"|"&amp;G37&amp;"|"&amp;H37&amp;"|"&amp;I37&amp;"|"&amp;J37&amp;"|"&amp;K37&amp;"|"&amp;L37</f>
        <v/>
      </c>
      <c r="N37">
        <f>IF(COUNTIF(M$2:M37,M37)&gt;1,1,0)</f>
        <v/>
      </c>
      <c r="O37">
        <f>IF(AND(N37=0,COUNTIFS(B$2:B$43,B37,N$2:N$43,0,A$2:A$43,"&lt;"&amp;A37)&gt;0),1,0)</f>
        <v/>
      </c>
      <c r="P37">
        <f>IF(N37+O37=0,1,0)</f>
        <v/>
      </c>
      <c r="Q37">
        <f>UPPER(LEFT(TRIM(C37),1))</f>
        <v/>
      </c>
      <c r="R37">
        <f>IF(UPPER(LEFT(TRIM(J37),1))="Y","yes",IF(UPPER(LEFT(TRIM(J37),1))="N","no",""))</f>
        <v/>
      </c>
      <c r="S37">
        <f>IF(F37&lt;3,F37*100,IF(OR(F37&lt;120,F37&gt;220),"",F37))</f>
        <v/>
      </c>
      <c r="T37">
        <f>IF(OR(G37&lt;30,G37&gt;250),"",G37)</f>
        <v/>
      </c>
      <c r="U37">
        <f>IF(OR(H37=-99,H37&lt;70,H37&gt;260),"",H37)</f>
        <v/>
      </c>
      <c r="V37">
        <f>IF(OR(I37&lt;40,I37&gt;150),"",I37)</f>
        <v/>
      </c>
      <c r="W37">
        <f>IF(AND(U37&lt;&gt;"",V37&lt;&gt;""),IF(V37&gt;=U37,1,0),0)</f>
        <v/>
      </c>
      <c r="X37">
        <f>IF(W37=1,"",U37)</f>
        <v/>
      </c>
      <c r="Y37">
        <f>IF(W37=1,"",V37)</f>
        <v/>
      </c>
      <c r="Z37">
        <f>IF(Q37="M","",K37)</f>
        <v/>
      </c>
      <c r="AA37" s="4">
        <f>IF(D37&gt;E37,"",D37)</f>
        <v/>
      </c>
      <c r="AB37">
        <f>IF(AA37="","",DATEDIF(AA37,E37,"y"))</f>
        <v/>
      </c>
      <c r="AC37">
        <f>IF(AND(P37=1,OR(AB37="",AB37&gt;=18)),1,0)</f>
        <v/>
      </c>
      <c r="AD37">
        <f>IF(OR(S37="",T37=""),"",T37/(S37/100)^2)</f>
        <v/>
      </c>
      <c r="AE37">
        <f>IF(AB37="","",IF(AB37&lt;40,1,IF(AB37&lt;60,2,3)))</f>
        <v/>
      </c>
      <c r="AF37">
        <f>COUNTIF(labs!$A$2:$A$84,B37)</f>
        <v/>
      </c>
      <c r="AG37">
        <f>IF(AF37=0,"",AVERAGEIF(labs!$A$2:$A$84,B37,labs!$C$2:$C$84))</f>
        <v/>
      </c>
    </row>
    <row r="38">
      <c r="A38" t="n">
        <v>37</v>
      </c>
      <c r="B38" t="n">
        <v>37</v>
      </c>
      <c r="C38" t="inlineStr">
        <is>
          <t>F</t>
        </is>
      </c>
      <c r="D38" s="4" t="n">
        <v>35618</v>
      </c>
      <c r="E38" s="4" t="n">
        <v>45737</v>
      </c>
      <c r="F38" t="n">
        <v>163</v>
      </c>
      <c r="G38" t="n">
        <v>66.2</v>
      </c>
      <c r="H38" t="n">
        <v>140</v>
      </c>
      <c r="I38" t="n">
        <v>76</v>
      </c>
      <c r="J38" t="inlineStr">
        <is>
          <t>no</t>
        </is>
      </c>
      <c r="K38" t="inlineStr">
        <is>
          <t>yes</t>
        </is>
      </c>
      <c r="L38" t="n">
        <v>7.7</v>
      </c>
      <c r="M38">
        <f>A38&amp;"|"&amp;B38&amp;"|"&amp;C38&amp;"|"&amp;D38&amp;"|"&amp;E38&amp;"|"&amp;F38&amp;"|"&amp;G38&amp;"|"&amp;H38&amp;"|"&amp;I38&amp;"|"&amp;J38&amp;"|"&amp;K38&amp;"|"&amp;L38</f>
        <v/>
      </c>
      <c r="N38">
        <f>IF(COUNTIF(M$2:M38,M38)&gt;1,1,0)</f>
        <v/>
      </c>
      <c r="O38">
        <f>IF(AND(N38=0,COUNTIFS(B$2:B$43,B38,N$2:N$43,0,A$2:A$43,"&lt;"&amp;A38)&gt;0),1,0)</f>
        <v/>
      </c>
      <c r="P38">
        <f>IF(N38+O38=0,1,0)</f>
        <v/>
      </c>
      <c r="Q38">
        <f>UPPER(LEFT(TRIM(C38),1))</f>
        <v/>
      </c>
      <c r="R38">
        <f>IF(UPPER(LEFT(TRIM(J38),1))="Y","yes",IF(UPPER(LEFT(TRIM(J38),1))="N","no",""))</f>
        <v/>
      </c>
      <c r="S38">
        <f>IF(F38&lt;3,F38*100,IF(OR(F38&lt;120,F38&gt;220),"",F38))</f>
        <v/>
      </c>
      <c r="T38">
        <f>IF(OR(G38&lt;30,G38&gt;250),"",G38)</f>
        <v/>
      </c>
      <c r="U38">
        <f>IF(OR(H38=-99,H38&lt;70,H38&gt;260),"",H38)</f>
        <v/>
      </c>
      <c r="V38">
        <f>IF(OR(I38&lt;40,I38&gt;150),"",I38)</f>
        <v/>
      </c>
      <c r="W38">
        <f>IF(AND(U38&lt;&gt;"",V38&lt;&gt;""),IF(V38&gt;=U38,1,0),0)</f>
        <v/>
      </c>
      <c r="X38">
        <f>IF(W38=1,"",U38)</f>
        <v/>
      </c>
      <c r="Y38">
        <f>IF(W38=1,"",V38)</f>
        <v/>
      </c>
      <c r="Z38">
        <f>IF(Q38="M","",K38)</f>
        <v/>
      </c>
      <c r="AA38" s="4">
        <f>IF(D38&gt;E38,"",D38)</f>
        <v/>
      </c>
      <c r="AB38">
        <f>IF(AA38="","",DATEDIF(AA38,E38,"y"))</f>
        <v/>
      </c>
      <c r="AC38">
        <f>IF(AND(P38=1,OR(AB38="",AB38&gt;=18)),1,0)</f>
        <v/>
      </c>
      <c r="AD38">
        <f>IF(OR(S38="",T38=""),"",T38/(S38/100)^2)</f>
        <v/>
      </c>
      <c r="AE38">
        <f>IF(AB38="","",IF(AB38&lt;40,1,IF(AB38&lt;60,2,3)))</f>
        <v/>
      </c>
      <c r="AF38">
        <f>COUNTIF(labs!$A$2:$A$84,B38)</f>
        <v/>
      </c>
      <c r="AG38">
        <f>IF(AF38=0,"",AVERAGEIF(labs!$A$2:$A$84,B38,labs!$C$2:$C$84))</f>
        <v/>
      </c>
    </row>
    <row r="39">
      <c r="A39" t="n">
        <v>38</v>
      </c>
      <c r="B39" t="n">
        <v>38</v>
      </c>
      <c r="C39" t="inlineStr">
        <is>
          <t>M</t>
        </is>
      </c>
      <c r="D39" s="4" t="n">
        <v>30878</v>
      </c>
      <c r="E39" s="4" t="n">
        <v>45952</v>
      </c>
      <c r="F39" t="n">
        <v>186</v>
      </c>
      <c r="G39" t="n">
        <v>97</v>
      </c>
      <c r="H39" t="n">
        <v>129</v>
      </c>
      <c r="I39" t="n">
        <v>73</v>
      </c>
      <c r="J39" t="inlineStr">
        <is>
          <t>no</t>
        </is>
      </c>
      <c r="L39" t="n">
        <v>8.800000000000001</v>
      </c>
      <c r="M39">
        <f>A39&amp;"|"&amp;B39&amp;"|"&amp;C39&amp;"|"&amp;D39&amp;"|"&amp;E39&amp;"|"&amp;F39&amp;"|"&amp;G39&amp;"|"&amp;H39&amp;"|"&amp;I39&amp;"|"&amp;J39&amp;"|"&amp;K39&amp;"|"&amp;L39</f>
        <v/>
      </c>
      <c r="N39">
        <f>IF(COUNTIF(M$2:M39,M39)&gt;1,1,0)</f>
        <v/>
      </c>
      <c r="O39">
        <f>IF(AND(N39=0,COUNTIFS(B$2:B$43,B39,N$2:N$43,0,A$2:A$43,"&lt;"&amp;A39)&gt;0),1,0)</f>
        <v/>
      </c>
      <c r="P39">
        <f>IF(N39+O39=0,1,0)</f>
        <v/>
      </c>
      <c r="Q39">
        <f>UPPER(LEFT(TRIM(C39),1))</f>
        <v/>
      </c>
      <c r="R39">
        <f>IF(UPPER(LEFT(TRIM(J39),1))="Y","yes",IF(UPPER(LEFT(TRIM(J39),1))="N","no",""))</f>
        <v/>
      </c>
      <c r="S39">
        <f>IF(F39&lt;3,F39*100,IF(OR(F39&lt;120,F39&gt;220),"",F39))</f>
        <v/>
      </c>
      <c r="T39">
        <f>IF(OR(G39&lt;30,G39&gt;250),"",G39)</f>
        <v/>
      </c>
      <c r="U39">
        <f>IF(OR(H39=-99,H39&lt;70,H39&gt;260),"",H39)</f>
        <v/>
      </c>
      <c r="V39">
        <f>IF(OR(I39&lt;40,I39&gt;150),"",I39)</f>
        <v/>
      </c>
      <c r="W39">
        <f>IF(AND(U39&lt;&gt;"",V39&lt;&gt;""),IF(V39&gt;=U39,1,0),0)</f>
        <v/>
      </c>
      <c r="X39">
        <f>IF(W39=1,"",U39)</f>
        <v/>
      </c>
      <c r="Y39">
        <f>IF(W39=1,"",V39)</f>
        <v/>
      </c>
      <c r="Z39">
        <f>IF(Q39="M","",K39)</f>
        <v/>
      </c>
      <c r="AA39" s="4">
        <f>IF(D39&gt;E39,"",D39)</f>
        <v/>
      </c>
      <c r="AB39">
        <f>IF(AA39="","",DATEDIF(AA39,E39,"y"))</f>
        <v/>
      </c>
      <c r="AC39">
        <f>IF(AND(P39=1,OR(AB39="",AB39&gt;=18)),1,0)</f>
        <v/>
      </c>
      <c r="AD39">
        <f>IF(OR(S39="",T39=""),"",T39/(S39/100)^2)</f>
        <v/>
      </c>
      <c r="AE39">
        <f>IF(AB39="","",IF(AB39&lt;40,1,IF(AB39&lt;60,2,3)))</f>
        <v/>
      </c>
      <c r="AF39">
        <f>COUNTIF(labs!$A$2:$A$84,B39)</f>
        <v/>
      </c>
      <c r="AG39">
        <f>IF(AF39=0,"",AVERAGEIF(labs!$A$2:$A$84,B39,labs!$C$2:$C$84))</f>
        <v/>
      </c>
    </row>
    <row r="40">
      <c r="A40" t="n">
        <v>39</v>
      </c>
      <c r="B40" t="n">
        <v>39</v>
      </c>
      <c r="C40" t="inlineStr">
        <is>
          <t>M</t>
        </is>
      </c>
      <c r="D40" s="4" t="n">
        <v>21677</v>
      </c>
      <c r="E40" s="4" t="n">
        <v>45726</v>
      </c>
      <c r="F40" t="n">
        <v>165</v>
      </c>
      <c r="G40" t="n">
        <v>67.40000000000001</v>
      </c>
      <c r="H40" t="n">
        <v>144</v>
      </c>
      <c r="I40" t="n">
        <v>78</v>
      </c>
      <c r="J40" t="inlineStr">
        <is>
          <t>y</t>
        </is>
      </c>
      <c r="L40" t="n">
        <v>6.4</v>
      </c>
      <c r="M40">
        <f>A40&amp;"|"&amp;B40&amp;"|"&amp;C40&amp;"|"&amp;D40&amp;"|"&amp;E40&amp;"|"&amp;F40&amp;"|"&amp;G40&amp;"|"&amp;H40&amp;"|"&amp;I40&amp;"|"&amp;J40&amp;"|"&amp;K40&amp;"|"&amp;L40</f>
        <v/>
      </c>
      <c r="N40">
        <f>IF(COUNTIF(M$2:M40,M40)&gt;1,1,0)</f>
        <v/>
      </c>
      <c r="O40">
        <f>IF(AND(N40=0,COUNTIFS(B$2:B$43,B40,N$2:N$43,0,A$2:A$43,"&lt;"&amp;A40)&gt;0),1,0)</f>
        <v/>
      </c>
      <c r="P40">
        <f>IF(N40+O40=0,1,0)</f>
        <v/>
      </c>
      <c r="Q40">
        <f>UPPER(LEFT(TRIM(C40),1))</f>
        <v/>
      </c>
      <c r="R40">
        <f>IF(UPPER(LEFT(TRIM(J40),1))="Y","yes",IF(UPPER(LEFT(TRIM(J40),1))="N","no",""))</f>
        <v/>
      </c>
      <c r="S40">
        <f>IF(F40&lt;3,F40*100,IF(OR(F40&lt;120,F40&gt;220),"",F40))</f>
        <v/>
      </c>
      <c r="T40">
        <f>IF(OR(G40&lt;30,G40&gt;250),"",G40)</f>
        <v/>
      </c>
      <c r="U40">
        <f>IF(OR(H40=-99,H40&lt;70,H40&gt;260),"",H40)</f>
        <v/>
      </c>
      <c r="V40">
        <f>IF(OR(I40&lt;40,I40&gt;150),"",I40)</f>
        <v/>
      </c>
      <c r="W40">
        <f>IF(AND(U40&lt;&gt;"",V40&lt;&gt;""),IF(V40&gt;=U40,1,0),0)</f>
        <v/>
      </c>
      <c r="X40">
        <f>IF(W40=1,"",U40)</f>
        <v/>
      </c>
      <c r="Y40">
        <f>IF(W40=1,"",V40)</f>
        <v/>
      </c>
      <c r="Z40">
        <f>IF(Q40="M","",K40)</f>
        <v/>
      </c>
      <c r="AA40" s="4">
        <f>IF(D40&gt;E40,"",D40)</f>
        <v/>
      </c>
      <c r="AB40">
        <f>IF(AA40="","",DATEDIF(AA40,E40,"y"))</f>
        <v/>
      </c>
      <c r="AC40">
        <f>IF(AND(P40=1,OR(AB40="",AB40&gt;=18)),1,0)</f>
        <v/>
      </c>
      <c r="AD40">
        <f>IF(OR(S40="",T40=""),"",T40/(S40/100)^2)</f>
        <v/>
      </c>
      <c r="AE40">
        <f>IF(AB40="","",IF(AB40&lt;40,1,IF(AB40&lt;60,2,3)))</f>
        <v/>
      </c>
      <c r="AF40">
        <f>COUNTIF(labs!$A$2:$A$84,B40)</f>
        <v/>
      </c>
      <c r="AG40">
        <f>IF(AF40=0,"",AVERAGEIF(labs!$A$2:$A$84,B40,labs!$C$2:$C$84))</f>
        <v/>
      </c>
    </row>
    <row r="41">
      <c r="A41" t="n">
        <v>40</v>
      </c>
      <c r="B41" t="n">
        <v>40</v>
      </c>
      <c r="C41" t="inlineStr">
        <is>
          <t>F</t>
        </is>
      </c>
      <c r="D41" s="4" t="n">
        <v>35252</v>
      </c>
      <c r="E41" s="4" t="n">
        <v>45811</v>
      </c>
      <c r="F41" t="n">
        <v>157</v>
      </c>
      <c r="G41" t="n">
        <v>55.9</v>
      </c>
      <c r="H41" t="n">
        <v>146</v>
      </c>
      <c r="I41" t="n">
        <v>93</v>
      </c>
      <c r="J41" t="inlineStr">
        <is>
          <t>no</t>
        </is>
      </c>
      <c r="K41" t="inlineStr">
        <is>
          <t>no</t>
        </is>
      </c>
      <c r="L41" t="n">
        <v>6.7</v>
      </c>
      <c r="M41">
        <f>A41&amp;"|"&amp;B41&amp;"|"&amp;C41&amp;"|"&amp;D41&amp;"|"&amp;E41&amp;"|"&amp;F41&amp;"|"&amp;G41&amp;"|"&amp;H41&amp;"|"&amp;I41&amp;"|"&amp;J41&amp;"|"&amp;K41&amp;"|"&amp;L41</f>
        <v/>
      </c>
      <c r="N41">
        <f>IF(COUNTIF(M$2:M41,M41)&gt;1,1,0)</f>
        <v/>
      </c>
      <c r="O41">
        <f>IF(AND(N41=0,COUNTIFS(B$2:B$43,B41,N$2:N$43,0,A$2:A$43,"&lt;"&amp;A41)&gt;0),1,0)</f>
        <v/>
      </c>
      <c r="P41">
        <f>IF(N41+O41=0,1,0)</f>
        <v/>
      </c>
      <c r="Q41">
        <f>UPPER(LEFT(TRIM(C41),1))</f>
        <v/>
      </c>
      <c r="R41">
        <f>IF(UPPER(LEFT(TRIM(J41),1))="Y","yes",IF(UPPER(LEFT(TRIM(J41),1))="N","no",""))</f>
        <v/>
      </c>
      <c r="S41">
        <f>IF(F41&lt;3,F41*100,IF(OR(F41&lt;120,F41&gt;220),"",F41))</f>
        <v/>
      </c>
      <c r="T41">
        <f>IF(OR(G41&lt;30,G41&gt;250),"",G41)</f>
        <v/>
      </c>
      <c r="U41">
        <f>IF(OR(H41=-99,H41&lt;70,H41&gt;260),"",H41)</f>
        <v/>
      </c>
      <c r="V41">
        <f>IF(OR(I41&lt;40,I41&gt;150),"",I41)</f>
        <v/>
      </c>
      <c r="W41">
        <f>IF(AND(U41&lt;&gt;"",V41&lt;&gt;""),IF(V41&gt;=U41,1,0),0)</f>
        <v/>
      </c>
      <c r="X41">
        <f>IF(W41=1,"",U41)</f>
        <v/>
      </c>
      <c r="Y41">
        <f>IF(W41=1,"",V41)</f>
        <v/>
      </c>
      <c r="Z41">
        <f>IF(Q41="M","",K41)</f>
        <v/>
      </c>
      <c r="AA41" s="4">
        <f>IF(D41&gt;E41,"",D41)</f>
        <v/>
      </c>
      <c r="AB41">
        <f>IF(AA41="","",DATEDIF(AA41,E41,"y"))</f>
        <v/>
      </c>
      <c r="AC41">
        <f>IF(AND(P41=1,OR(AB41="",AB41&gt;=18)),1,0)</f>
        <v/>
      </c>
      <c r="AD41">
        <f>IF(OR(S41="",T41=""),"",T41/(S41/100)^2)</f>
        <v/>
      </c>
      <c r="AE41">
        <f>IF(AB41="","",IF(AB41&lt;40,1,IF(AB41&lt;60,2,3)))</f>
        <v/>
      </c>
      <c r="AF41">
        <f>COUNTIF(labs!$A$2:$A$84,B41)</f>
        <v/>
      </c>
      <c r="AG41">
        <f>IF(AF41=0,"",AVERAGEIF(labs!$A$2:$A$84,B41,labs!$C$2:$C$84))</f>
        <v/>
      </c>
    </row>
    <row r="42">
      <c r="A42" t="n">
        <v>12</v>
      </c>
      <c r="B42" t="n">
        <v>12</v>
      </c>
      <c r="C42" t="inlineStr">
        <is>
          <t xml:space="preserve">F </t>
        </is>
      </c>
      <c r="D42" s="4" t="n">
        <v>27665</v>
      </c>
      <c r="E42" s="4" t="n">
        <v>45818</v>
      </c>
      <c r="F42" t="n">
        <v>163</v>
      </c>
      <c r="G42" t="n">
        <v>70.5</v>
      </c>
      <c r="H42" t="n">
        <v>159</v>
      </c>
      <c r="I42" t="n">
        <v>98</v>
      </c>
      <c r="J42" t="inlineStr">
        <is>
          <t>no</t>
        </is>
      </c>
      <c r="K42" t="inlineStr">
        <is>
          <t>no</t>
        </is>
      </c>
      <c r="L42" t="n">
        <v>8.1</v>
      </c>
      <c r="M42">
        <f>A42&amp;"|"&amp;B42&amp;"|"&amp;C42&amp;"|"&amp;D42&amp;"|"&amp;E42&amp;"|"&amp;F42&amp;"|"&amp;G42&amp;"|"&amp;H42&amp;"|"&amp;I42&amp;"|"&amp;J42&amp;"|"&amp;K42&amp;"|"&amp;L42</f>
        <v/>
      </c>
      <c r="N42">
        <f>IF(COUNTIF(M$2:M42,M42)&gt;1,1,0)</f>
        <v/>
      </c>
      <c r="O42">
        <f>IF(AND(N42=0,COUNTIFS(B$2:B$43,B42,N$2:N$43,0,A$2:A$43,"&lt;"&amp;A42)&gt;0),1,0)</f>
        <v/>
      </c>
      <c r="P42">
        <f>IF(N42+O42=0,1,0)</f>
        <v/>
      </c>
      <c r="Q42">
        <f>UPPER(LEFT(TRIM(C42),1))</f>
        <v/>
      </c>
      <c r="R42">
        <f>IF(UPPER(LEFT(TRIM(J42),1))="Y","yes",IF(UPPER(LEFT(TRIM(J42),1))="N","no",""))</f>
        <v/>
      </c>
      <c r="S42">
        <f>IF(F42&lt;3,F42*100,IF(OR(F42&lt;120,F42&gt;220),"",F42))</f>
        <v/>
      </c>
      <c r="T42">
        <f>IF(OR(G42&lt;30,G42&gt;250),"",G42)</f>
        <v/>
      </c>
      <c r="U42">
        <f>IF(OR(H42=-99,H42&lt;70,H42&gt;260),"",H42)</f>
        <v/>
      </c>
      <c r="V42">
        <f>IF(OR(I42&lt;40,I42&gt;150),"",I42)</f>
        <v/>
      </c>
      <c r="W42">
        <f>IF(AND(U42&lt;&gt;"",V42&lt;&gt;""),IF(V42&gt;=U42,1,0),0)</f>
        <v/>
      </c>
      <c r="X42">
        <f>IF(W42=1,"",U42)</f>
        <v/>
      </c>
      <c r="Y42">
        <f>IF(W42=1,"",V42)</f>
        <v/>
      </c>
      <c r="Z42">
        <f>IF(Q42="M","",K42)</f>
        <v/>
      </c>
      <c r="AA42" s="4">
        <f>IF(D42&gt;E42,"",D42)</f>
        <v/>
      </c>
      <c r="AB42">
        <f>IF(AA42="","",DATEDIF(AA42,E42,"y"))</f>
        <v/>
      </c>
      <c r="AC42">
        <f>IF(AND(P42=1,OR(AB42="",AB42&gt;=18)),1,0)</f>
        <v/>
      </c>
      <c r="AD42">
        <f>IF(OR(S42="",T42=""),"",T42/(S42/100)^2)</f>
        <v/>
      </c>
      <c r="AE42">
        <f>IF(AB42="","",IF(AB42&lt;40,1,IF(AB42&lt;60,2,3)))</f>
        <v/>
      </c>
      <c r="AF42">
        <f>COUNTIF(labs!$A$2:$A$84,B42)</f>
        <v/>
      </c>
      <c r="AG42">
        <f>IF(AF42=0,"",AVERAGEIF(labs!$A$2:$A$84,B42,labs!$C$2:$C$84))</f>
        <v/>
      </c>
    </row>
    <row r="43">
      <c r="A43" t="n">
        <v>42</v>
      </c>
      <c r="B43" t="n">
        <v>27</v>
      </c>
      <c r="C43" t="inlineStr">
        <is>
          <t>M</t>
        </is>
      </c>
      <c r="D43" s="4" t="n">
        <v>29163</v>
      </c>
      <c r="E43" s="4" t="n">
        <v>45722</v>
      </c>
      <c r="F43" t="n">
        <v>170</v>
      </c>
      <c r="G43" t="n">
        <v>54.3</v>
      </c>
      <c r="H43" t="n">
        <v>161</v>
      </c>
      <c r="I43" t="n">
        <v>83</v>
      </c>
      <c r="J43" t="inlineStr">
        <is>
          <t>yes</t>
        </is>
      </c>
      <c r="L43" t="n">
        <v>7.5</v>
      </c>
      <c r="M43">
        <f>A43&amp;"|"&amp;B43&amp;"|"&amp;C43&amp;"|"&amp;D43&amp;"|"&amp;E43&amp;"|"&amp;F43&amp;"|"&amp;G43&amp;"|"&amp;H43&amp;"|"&amp;I43&amp;"|"&amp;J43&amp;"|"&amp;K43&amp;"|"&amp;L43</f>
        <v/>
      </c>
      <c r="N43">
        <f>IF(COUNTIF(M$2:M43,M43)&gt;1,1,0)</f>
        <v/>
      </c>
      <c r="O43">
        <f>IF(AND(N43=0,COUNTIFS(B$2:B$43,B43,N$2:N$43,0,A$2:A$43,"&lt;"&amp;A43)&gt;0),1,0)</f>
        <v/>
      </c>
      <c r="P43">
        <f>IF(N43+O43=0,1,0)</f>
        <v/>
      </c>
      <c r="Q43">
        <f>UPPER(LEFT(TRIM(C43),1))</f>
        <v/>
      </c>
      <c r="R43">
        <f>IF(UPPER(LEFT(TRIM(J43),1))="Y","yes",IF(UPPER(LEFT(TRIM(J43),1))="N","no",""))</f>
        <v/>
      </c>
      <c r="S43">
        <f>IF(F43&lt;3,F43*100,IF(OR(F43&lt;120,F43&gt;220),"",F43))</f>
        <v/>
      </c>
      <c r="T43">
        <f>IF(OR(G43&lt;30,G43&gt;250),"",G43)</f>
        <v/>
      </c>
      <c r="U43">
        <f>IF(OR(H43=-99,H43&lt;70,H43&gt;260),"",H43)</f>
        <v/>
      </c>
      <c r="V43">
        <f>IF(OR(I43&lt;40,I43&gt;150),"",I43)</f>
        <v/>
      </c>
      <c r="W43">
        <f>IF(AND(U43&lt;&gt;"",V43&lt;&gt;""),IF(V43&gt;=U43,1,0),0)</f>
        <v/>
      </c>
      <c r="X43">
        <f>IF(W43=1,"",U43)</f>
        <v/>
      </c>
      <c r="Y43">
        <f>IF(W43=1,"",V43)</f>
        <v/>
      </c>
      <c r="Z43">
        <f>IF(Q43="M","",K43)</f>
        <v/>
      </c>
      <c r="AA43" s="4">
        <f>IF(D43&gt;E43,"",D43)</f>
        <v/>
      </c>
      <c r="AB43">
        <f>IF(AA43="","",DATEDIF(AA43,E43,"y"))</f>
        <v/>
      </c>
      <c r="AC43">
        <f>IF(AND(P43=1,OR(AB43="",AB43&gt;=18)),1,0)</f>
        <v/>
      </c>
      <c r="AD43">
        <f>IF(OR(S43="",T43=""),"",T43/(S43/100)^2)</f>
        <v/>
      </c>
      <c r="AE43">
        <f>IF(AB43="","",IF(AB43&lt;40,1,IF(AB43&lt;60,2,3)))</f>
        <v/>
      </c>
      <c r="AF43">
        <f>COUNTIF(labs!$A$2:$A$84,B43)</f>
        <v/>
      </c>
      <c r="AG43">
        <f>IF(AF43=0,"",AVERAGEIF(labs!$A$2:$A$84,B43,labs!$C$2:$C$84))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pid</t>
        </is>
      </c>
      <c r="B1" s="2" t="inlineStr">
        <is>
          <t>test_date</t>
        </is>
      </c>
      <c r="C1" s="2" t="inlineStr">
        <is>
          <t>ldl</t>
        </is>
      </c>
      <c r="D1" s="2" t="inlineStr">
        <is>
          <t>hdl</t>
        </is>
      </c>
      <c r="E1" s="3" t="inlineStr">
        <is>
          <t>unmatched</t>
        </is>
      </c>
    </row>
    <row r="2">
      <c r="A2" t="n">
        <v>1</v>
      </c>
      <c r="B2" s="4" t="n">
        <v>45762</v>
      </c>
      <c r="C2" t="n">
        <v>163</v>
      </c>
      <c r="D2" t="n">
        <v>46</v>
      </c>
      <c r="E2">
        <f>IF(COUNTIFS(raw!$B$2:$B$43,A2,raw!$AC$2:$AC$43,1)=0,1,0)</f>
        <v/>
      </c>
    </row>
    <row r="3">
      <c r="A3" t="n">
        <v>1</v>
      </c>
      <c r="B3" s="4" t="n">
        <v>45886</v>
      </c>
      <c r="C3" t="n">
        <v>120</v>
      </c>
      <c r="D3" t="n">
        <v>45</v>
      </c>
      <c r="E3">
        <f>IF(COUNTIFS(raw!$B$2:$B$43,A3,raw!$AC$2:$AC$43,1)=0,1,0)</f>
        <v/>
      </c>
    </row>
    <row r="4">
      <c r="A4" t="n">
        <v>1</v>
      </c>
      <c r="B4" s="4" t="n">
        <v>45954</v>
      </c>
      <c r="C4" t="n">
        <v>128</v>
      </c>
      <c r="D4" t="n">
        <v>53</v>
      </c>
      <c r="E4">
        <f>IF(COUNTIFS(raw!$B$2:$B$43,A4,raw!$AC$2:$AC$43,1)=0,1,0)</f>
        <v/>
      </c>
    </row>
    <row r="5">
      <c r="A5" t="n">
        <v>2</v>
      </c>
      <c r="B5" s="4" t="n">
        <v>45701</v>
      </c>
      <c r="C5" t="n">
        <v>99</v>
      </c>
      <c r="D5" t="n">
        <v>46</v>
      </c>
      <c r="E5">
        <f>IF(COUNTIFS(raw!$B$2:$B$43,A5,raw!$AC$2:$AC$43,1)=0,1,0)</f>
        <v/>
      </c>
    </row>
    <row r="6">
      <c r="A6" t="n">
        <v>2</v>
      </c>
      <c r="B6" s="4" t="n">
        <v>45729</v>
      </c>
      <c r="C6" t="n">
        <v>61</v>
      </c>
      <c r="D6" t="n">
        <v>54</v>
      </c>
      <c r="E6">
        <f>IF(COUNTIFS(raw!$B$2:$B$43,A6,raw!$AC$2:$AC$43,1)=0,1,0)</f>
        <v/>
      </c>
    </row>
    <row r="7">
      <c r="A7" t="n">
        <v>2</v>
      </c>
      <c r="B7" s="4" t="n">
        <v>45850</v>
      </c>
      <c r="C7" t="n">
        <v>123</v>
      </c>
      <c r="D7" t="n">
        <v>59</v>
      </c>
      <c r="E7">
        <f>IF(COUNTIFS(raw!$B$2:$B$43,A7,raw!$AC$2:$AC$43,1)=0,1,0)</f>
        <v/>
      </c>
    </row>
    <row r="8">
      <c r="A8" t="n">
        <v>3</v>
      </c>
      <c r="B8" s="4" t="n">
        <v>45886</v>
      </c>
      <c r="C8" t="n">
        <v>208</v>
      </c>
      <c r="D8" t="n">
        <v>51</v>
      </c>
      <c r="E8">
        <f>IF(COUNTIFS(raw!$B$2:$B$43,A8,raw!$AC$2:$AC$43,1)=0,1,0)</f>
        <v/>
      </c>
    </row>
    <row r="9">
      <c r="A9" t="n">
        <v>3</v>
      </c>
      <c r="B9" s="4" t="n">
        <v>45956</v>
      </c>
      <c r="C9" t="n">
        <v>98</v>
      </c>
      <c r="D9" t="n">
        <v>40</v>
      </c>
      <c r="E9">
        <f>IF(COUNTIFS(raw!$B$2:$B$43,A9,raw!$AC$2:$AC$43,1)=0,1,0)</f>
        <v/>
      </c>
    </row>
    <row r="10">
      <c r="A10" t="n">
        <v>5</v>
      </c>
      <c r="B10" s="4" t="n">
        <v>45680</v>
      </c>
      <c r="C10" t="n">
        <v>79</v>
      </c>
      <c r="D10" t="n">
        <v>41</v>
      </c>
      <c r="E10">
        <f>IF(COUNTIFS(raw!$B$2:$B$43,A10,raw!$AC$2:$AC$43,1)=0,1,0)</f>
        <v/>
      </c>
    </row>
    <row r="11">
      <c r="A11" t="n">
        <v>5</v>
      </c>
      <c r="B11" s="4" t="n">
        <v>45742</v>
      </c>
      <c r="C11" t="n">
        <v>136</v>
      </c>
      <c r="D11" t="n">
        <v>48</v>
      </c>
      <c r="E11">
        <f>IF(COUNTIFS(raw!$B$2:$B$43,A11,raw!$AC$2:$AC$43,1)=0,1,0)</f>
        <v/>
      </c>
    </row>
    <row r="12">
      <c r="A12" t="n">
        <v>5</v>
      </c>
      <c r="B12" s="4" t="n">
        <v>45886</v>
      </c>
      <c r="C12" t="n">
        <v>162</v>
      </c>
      <c r="D12" t="n">
        <v>48</v>
      </c>
      <c r="E12">
        <f>IF(COUNTIFS(raw!$B$2:$B$43,A12,raw!$AC$2:$AC$43,1)=0,1,0)</f>
        <v/>
      </c>
    </row>
    <row r="13">
      <c r="A13" t="n">
        <v>6</v>
      </c>
      <c r="B13" s="4" t="n">
        <v>45670</v>
      </c>
      <c r="C13" t="n">
        <v>90</v>
      </c>
      <c r="D13" t="n">
        <v>26</v>
      </c>
      <c r="E13">
        <f>IF(COUNTIFS(raw!$B$2:$B$43,A13,raw!$AC$2:$AC$43,1)=0,1,0)</f>
        <v/>
      </c>
    </row>
    <row r="14">
      <c r="A14" t="n">
        <v>6</v>
      </c>
      <c r="B14" s="4" t="n">
        <v>45734</v>
      </c>
      <c r="C14" t="n">
        <v>126</v>
      </c>
      <c r="D14" t="n">
        <v>41</v>
      </c>
      <c r="E14">
        <f>IF(COUNTIFS(raw!$B$2:$B$43,A14,raw!$AC$2:$AC$43,1)=0,1,0)</f>
        <v/>
      </c>
    </row>
    <row r="15">
      <c r="A15" t="n">
        <v>7</v>
      </c>
      <c r="B15" s="4" t="n">
        <v>45906</v>
      </c>
      <c r="C15" t="n">
        <v>150</v>
      </c>
      <c r="D15" t="n">
        <v>50</v>
      </c>
      <c r="E15">
        <f>IF(COUNTIFS(raw!$B$2:$B$43,A15,raw!$AC$2:$AC$43,1)=0,1,0)</f>
        <v/>
      </c>
    </row>
    <row r="16">
      <c r="A16" t="n">
        <v>8</v>
      </c>
      <c r="B16" s="4" t="n">
        <v>45791</v>
      </c>
      <c r="C16" t="n">
        <v>123</v>
      </c>
      <c r="D16" t="n">
        <v>46</v>
      </c>
      <c r="E16">
        <f>IF(COUNTIFS(raw!$B$2:$B$43,A16,raw!$AC$2:$AC$43,1)=0,1,0)</f>
        <v/>
      </c>
    </row>
    <row r="17">
      <c r="A17" t="n">
        <v>9</v>
      </c>
      <c r="B17" s="4" t="n">
        <v>45766</v>
      </c>
      <c r="C17" t="n">
        <v>126</v>
      </c>
      <c r="D17" t="n">
        <v>56</v>
      </c>
      <c r="E17">
        <f>IF(COUNTIFS(raw!$B$2:$B$43,A17,raw!$AC$2:$AC$43,1)=0,1,0)</f>
        <v/>
      </c>
    </row>
    <row r="18">
      <c r="A18" t="n">
        <v>9</v>
      </c>
      <c r="B18" s="4" t="n">
        <v>45984</v>
      </c>
      <c r="C18" t="n">
        <v>110</v>
      </c>
      <c r="D18" t="n">
        <v>37</v>
      </c>
      <c r="E18">
        <f>IF(COUNTIFS(raw!$B$2:$B$43,A18,raw!$AC$2:$AC$43,1)=0,1,0)</f>
        <v/>
      </c>
    </row>
    <row r="19">
      <c r="A19" t="n">
        <v>10</v>
      </c>
      <c r="B19" s="4" t="n">
        <v>45709</v>
      </c>
      <c r="C19" t="n">
        <v>100</v>
      </c>
      <c r="D19" t="n">
        <v>45</v>
      </c>
      <c r="E19">
        <f>IF(COUNTIFS(raw!$B$2:$B$43,A19,raw!$AC$2:$AC$43,1)=0,1,0)</f>
        <v/>
      </c>
    </row>
    <row r="20">
      <c r="A20" t="n">
        <v>10</v>
      </c>
      <c r="B20" s="4" t="n">
        <v>45744</v>
      </c>
      <c r="C20" t="n">
        <v>122</v>
      </c>
      <c r="D20" t="n">
        <v>58</v>
      </c>
      <c r="E20">
        <f>IF(COUNTIFS(raw!$B$2:$B$43,A20,raw!$AC$2:$AC$43,1)=0,1,0)</f>
        <v/>
      </c>
    </row>
    <row r="21">
      <c r="A21" t="n">
        <v>10</v>
      </c>
      <c r="B21" s="4" t="n">
        <v>45904</v>
      </c>
      <c r="C21" t="n">
        <v>84</v>
      </c>
      <c r="D21" t="n">
        <v>49</v>
      </c>
      <c r="E21">
        <f>IF(COUNTIFS(raw!$B$2:$B$43,A21,raw!$AC$2:$AC$43,1)=0,1,0)</f>
        <v/>
      </c>
    </row>
    <row r="22">
      <c r="A22" t="n">
        <v>11</v>
      </c>
      <c r="B22" s="4" t="n">
        <v>45671</v>
      </c>
      <c r="C22" t="n">
        <v>126</v>
      </c>
      <c r="D22" t="n">
        <v>46</v>
      </c>
      <c r="E22">
        <f>IF(COUNTIFS(raw!$B$2:$B$43,A22,raw!$AC$2:$AC$43,1)=0,1,0)</f>
        <v/>
      </c>
    </row>
    <row r="23">
      <c r="A23" t="n">
        <v>11</v>
      </c>
      <c r="B23" s="4" t="n">
        <v>45961</v>
      </c>
      <c r="C23" t="n">
        <v>121</v>
      </c>
      <c r="D23" t="n">
        <v>49</v>
      </c>
      <c r="E23">
        <f>IF(COUNTIFS(raw!$B$2:$B$43,A23,raw!$AC$2:$AC$43,1)=0,1,0)</f>
        <v/>
      </c>
    </row>
    <row r="24">
      <c r="A24" t="n">
        <v>12</v>
      </c>
      <c r="B24" s="4" t="n">
        <v>45794</v>
      </c>
      <c r="C24" t="n">
        <v>92</v>
      </c>
      <c r="D24" t="n">
        <v>57</v>
      </c>
      <c r="E24">
        <f>IF(COUNTIFS(raw!$B$2:$B$43,A24,raw!$AC$2:$AC$43,1)=0,1,0)</f>
        <v/>
      </c>
    </row>
    <row r="25">
      <c r="A25" t="n">
        <v>12</v>
      </c>
      <c r="B25" s="4" t="n">
        <v>45834</v>
      </c>
      <c r="C25" t="n">
        <v>125</v>
      </c>
      <c r="D25" t="n">
        <v>56</v>
      </c>
      <c r="E25">
        <f>IF(COUNTIFS(raw!$B$2:$B$43,A25,raw!$AC$2:$AC$43,1)=0,1,0)</f>
        <v/>
      </c>
    </row>
    <row r="26">
      <c r="A26" t="n">
        <v>13</v>
      </c>
      <c r="B26" s="4" t="n">
        <v>45730</v>
      </c>
      <c r="C26" t="n">
        <v>166</v>
      </c>
      <c r="D26" t="n">
        <v>32</v>
      </c>
      <c r="E26">
        <f>IF(COUNTIFS(raw!$B$2:$B$43,A26,raw!$AC$2:$AC$43,1)=0,1,0)</f>
        <v/>
      </c>
    </row>
    <row r="27">
      <c r="A27" t="n">
        <v>13</v>
      </c>
      <c r="B27" s="4" t="n">
        <v>45907</v>
      </c>
      <c r="C27" t="n">
        <v>187</v>
      </c>
      <c r="D27" t="n">
        <v>64</v>
      </c>
      <c r="E27">
        <f>IF(COUNTIFS(raw!$B$2:$B$43,A27,raw!$AC$2:$AC$43,1)=0,1,0)</f>
        <v/>
      </c>
    </row>
    <row r="28">
      <c r="A28" t="n">
        <v>13</v>
      </c>
      <c r="B28" s="4" t="n">
        <v>45944</v>
      </c>
      <c r="C28" t="n">
        <v>110</v>
      </c>
      <c r="D28" t="n">
        <v>33</v>
      </c>
      <c r="E28">
        <f>IF(COUNTIFS(raw!$B$2:$B$43,A28,raw!$AC$2:$AC$43,1)=0,1,0)</f>
        <v/>
      </c>
    </row>
    <row r="29">
      <c r="A29" t="n">
        <v>14</v>
      </c>
      <c r="B29" s="4" t="n">
        <v>45685</v>
      </c>
      <c r="C29" t="n">
        <v>72</v>
      </c>
      <c r="D29" t="n">
        <v>51</v>
      </c>
      <c r="E29">
        <f>IF(COUNTIFS(raw!$B$2:$B$43,A29,raw!$AC$2:$AC$43,1)=0,1,0)</f>
        <v/>
      </c>
    </row>
    <row r="30">
      <c r="A30" t="n">
        <v>14</v>
      </c>
      <c r="B30" s="4" t="n">
        <v>45931</v>
      </c>
      <c r="C30" t="n">
        <v>124</v>
      </c>
      <c r="D30" t="n">
        <v>42</v>
      </c>
      <c r="E30">
        <f>IF(COUNTIFS(raw!$B$2:$B$43,A30,raw!$AC$2:$AC$43,1)=0,1,0)</f>
        <v/>
      </c>
    </row>
    <row r="31">
      <c r="A31" t="n">
        <v>14</v>
      </c>
      <c r="B31" s="4" t="n">
        <v>45995</v>
      </c>
      <c r="C31" t="n">
        <v>111</v>
      </c>
      <c r="D31" t="n">
        <v>41</v>
      </c>
      <c r="E31">
        <f>IF(COUNTIFS(raw!$B$2:$B$43,A31,raw!$AC$2:$AC$43,1)=0,1,0)</f>
        <v/>
      </c>
    </row>
    <row r="32">
      <c r="A32" t="n">
        <v>16</v>
      </c>
      <c r="B32" s="4" t="n">
        <v>45671</v>
      </c>
      <c r="C32" t="n">
        <v>137</v>
      </c>
      <c r="D32" t="n">
        <v>63</v>
      </c>
      <c r="E32">
        <f>IF(COUNTIFS(raw!$B$2:$B$43,A32,raw!$AC$2:$AC$43,1)=0,1,0)</f>
        <v/>
      </c>
    </row>
    <row r="33">
      <c r="A33" t="n">
        <v>16</v>
      </c>
      <c r="B33" s="4" t="n">
        <v>45719</v>
      </c>
      <c r="C33" t="n">
        <v>65</v>
      </c>
      <c r="D33" t="n">
        <v>45</v>
      </c>
      <c r="E33">
        <f>IF(COUNTIFS(raw!$B$2:$B$43,A33,raw!$AC$2:$AC$43,1)=0,1,0)</f>
        <v/>
      </c>
    </row>
    <row r="34">
      <c r="A34" t="n">
        <v>16</v>
      </c>
      <c r="B34" s="4" t="n">
        <v>45903</v>
      </c>
      <c r="C34" t="n">
        <v>188</v>
      </c>
      <c r="D34" t="n">
        <v>45</v>
      </c>
      <c r="E34">
        <f>IF(COUNTIFS(raw!$B$2:$B$43,A34,raw!$AC$2:$AC$43,1)=0,1,0)</f>
        <v/>
      </c>
    </row>
    <row r="35">
      <c r="A35" t="n">
        <v>17</v>
      </c>
      <c r="B35" s="4" t="n">
        <v>45886</v>
      </c>
      <c r="C35" t="n">
        <v>87</v>
      </c>
      <c r="D35" t="n">
        <v>49</v>
      </c>
      <c r="E35">
        <f>IF(COUNTIFS(raw!$B$2:$B$43,A35,raw!$AC$2:$AC$43,1)=0,1,0)</f>
        <v/>
      </c>
    </row>
    <row r="36">
      <c r="A36" t="n">
        <v>17</v>
      </c>
      <c r="B36" s="4" t="n">
        <v>45973</v>
      </c>
      <c r="C36" t="n">
        <v>109</v>
      </c>
      <c r="D36" t="n">
        <v>46</v>
      </c>
      <c r="E36">
        <f>IF(COUNTIFS(raw!$B$2:$B$43,A36,raw!$AC$2:$AC$43,1)=0,1,0)</f>
        <v/>
      </c>
    </row>
    <row r="37">
      <c r="A37" t="n">
        <v>17</v>
      </c>
      <c r="B37" s="4" t="n">
        <v>45986</v>
      </c>
      <c r="C37" t="n">
        <v>96</v>
      </c>
      <c r="D37" t="n">
        <v>52</v>
      </c>
      <c r="E37">
        <f>IF(COUNTIFS(raw!$B$2:$B$43,A37,raw!$AC$2:$AC$43,1)=0,1,0)</f>
        <v/>
      </c>
    </row>
    <row r="38">
      <c r="A38" t="n">
        <v>18</v>
      </c>
      <c r="B38" s="4" t="n">
        <v>45743</v>
      </c>
      <c r="C38" t="n">
        <v>69</v>
      </c>
      <c r="D38" t="n">
        <v>66</v>
      </c>
      <c r="E38">
        <f>IF(COUNTIFS(raw!$B$2:$B$43,A38,raw!$AC$2:$AC$43,1)=0,1,0)</f>
        <v/>
      </c>
    </row>
    <row r="39">
      <c r="A39" t="n">
        <v>18</v>
      </c>
      <c r="B39" s="4" t="n">
        <v>45952</v>
      </c>
      <c r="C39" t="n">
        <v>117</v>
      </c>
      <c r="D39" t="n">
        <v>46</v>
      </c>
      <c r="E39">
        <f>IF(COUNTIFS(raw!$B$2:$B$43,A39,raw!$AC$2:$AC$43,1)=0,1,0)</f>
        <v/>
      </c>
    </row>
    <row r="40">
      <c r="A40" t="n">
        <v>19</v>
      </c>
      <c r="B40" s="4" t="n">
        <v>45866</v>
      </c>
      <c r="C40" t="n">
        <v>114</v>
      </c>
      <c r="D40" t="n">
        <v>53</v>
      </c>
      <c r="E40">
        <f>IF(COUNTIFS(raw!$B$2:$B$43,A40,raw!$AC$2:$AC$43,1)=0,1,0)</f>
        <v/>
      </c>
    </row>
    <row r="41">
      <c r="A41" t="n">
        <v>20</v>
      </c>
      <c r="B41" s="4" t="n">
        <v>45750</v>
      </c>
      <c r="C41" t="n">
        <v>128</v>
      </c>
      <c r="D41" t="n">
        <v>52</v>
      </c>
      <c r="E41">
        <f>IF(COUNTIFS(raw!$B$2:$B$43,A41,raw!$AC$2:$AC$43,1)=0,1,0)</f>
        <v/>
      </c>
    </row>
    <row r="42">
      <c r="A42" t="n">
        <v>20</v>
      </c>
      <c r="B42" s="4" t="n">
        <v>45755</v>
      </c>
      <c r="C42" t="n">
        <v>158</v>
      </c>
      <c r="D42" t="n">
        <v>59</v>
      </c>
      <c r="E42">
        <f>IF(COUNTIFS(raw!$B$2:$B$43,A42,raw!$AC$2:$AC$43,1)=0,1,0)</f>
        <v/>
      </c>
    </row>
    <row r="43">
      <c r="A43" t="n">
        <v>20</v>
      </c>
      <c r="B43" s="4" t="n">
        <v>45782</v>
      </c>
      <c r="C43" t="n">
        <v>118</v>
      </c>
      <c r="D43" t="n">
        <v>46</v>
      </c>
      <c r="E43">
        <f>IF(COUNTIFS(raw!$B$2:$B$43,A43,raw!$AC$2:$AC$43,1)=0,1,0)</f>
        <v/>
      </c>
    </row>
    <row r="44">
      <c r="A44" t="n">
        <v>21</v>
      </c>
      <c r="B44" s="4" t="n">
        <v>45671</v>
      </c>
      <c r="C44" t="n">
        <v>125</v>
      </c>
      <c r="D44" t="n">
        <v>63</v>
      </c>
      <c r="E44">
        <f>IF(COUNTIFS(raw!$B$2:$B$43,A44,raw!$AC$2:$AC$43,1)=0,1,0)</f>
        <v/>
      </c>
    </row>
    <row r="45">
      <c r="A45" t="n">
        <v>21</v>
      </c>
      <c r="B45" s="4" t="n">
        <v>45926</v>
      </c>
      <c r="C45" t="n">
        <v>131</v>
      </c>
      <c r="D45" t="n">
        <v>61</v>
      </c>
      <c r="E45">
        <f>IF(COUNTIFS(raw!$B$2:$B$43,A45,raw!$AC$2:$AC$43,1)=0,1,0)</f>
        <v/>
      </c>
    </row>
    <row r="46">
      <c r="A46" t="n">
        <v>22</v>
      </c>
      <c r="B46" s="4" t="n">
        <v>45736</v>
      </c>
      <c r="C46" t="n">
        <v>146</v>
      </c>
      <c r="D46" t="n">
        <v>38</v>
      </c>
      <c r="E46">
        <f>IF(COUNTIFS(raw!$B$2:$B$43,A46,raw!$AC$2:$AC$43,1)=0,1,0)</f>
        <v/>
      </c>
    </row>
    <row r="47">
      <c r="A47" t="n">
        <v>22</v>
      </c>
      <c r="B47" s="4" t="n">
        <v>45992</v>
      </c>
      <c r="C47" t="n">
        <v>109</v>
      </c>
      <c r="D47" t="n">
        <v>27</v>
      </c>
      <c r="E47">
        <f>IF(COUNTIFS(raw!$B$2:$B$43,A47,raw!$AC$2:$AC$43,1)=0,1,0)</f>
        <v/>
      </c>
    </row>
    <row r="48">
      <c r="A48" t="n">
        <v>24</v>
      </c>
      <c r="B48" s="4" t="n">
        <v>45735</v>
      </c>
      <c r="C48" t="n">
        <v>164</v>
      </c>
      <c r="D48" t="n">
        <v>35</v>
      </c>
      <c r="E48">
        <f>IF(COUNTIFS(raw!$B$2:$B$43,A48,raw!$AC$2:$AC$43,1)=0,1,0)</f>
        <v/>
      </c>
    </row>
    <row r="49">
      <c r="A49" t="n">
        <v>24</v>
      </c>
      <c r="B49" s="4" t="n">
        <v>45868</v>
      </c>
      <c r="C49" t="n">
        <v>86</v>
      </c>
      <c r="D49" t="n">
        <v>36</v>
      </c>
      <c r="E49">
        <f>IF(COUNTIFS(raw!$B$2:$B$43,A49,raw!$AC$2:$AC$43,1)=0,1,0)</f>
        <v/>
      </c>
    </row>
    <row r="50">
      <c r="A50" t="n">
        <v>25</v>
      </c>
      <c r="B50" s="4" t="n">
        <v>45750</v>
      </c>
      <c r="C50" t="n">
        <v>125</v>
      </c>
      <c r="D50" t="n">
        <v>57</v>
      </c>
      <c r="E50">
        <f>IF(COUNTIFS(raw!$B$2:$B$43,A50,raw!$AC$2:$AC$43,1)=0,1,0)</f>
        <v/>
      </c>
    </row>
    <row r="51">
      <c r="A51" t="n">
        <v>25</v>
      </c>
      <c r="B51" s="4" t="n">
        <v>45883</v>
      </c>
      <c r="C51" t="n">
        <v>144</v>
      </c>
      <c r="D51" t="n">
        <v>45</v>
      </c>
      <c r="E51">
        <f>IF(COUNTIFS(raw!$B$2:$B$43,A51,raw!$AC$2:$AC$43,1)=0,1,0)</f>
        <v/>
      </c>
    </row>
    <row r="52">
      <c r="A52" t="n">
        <v>25</v>
      </c>
      <c r="B52" s="4" t="n">
        <v>45951</v>
      </c>
      <c r="C52" t="n">
        <v>99</v>
      </c>
      <c r="D52" t="n">
        <v>34</v>
      </c>
      <c r="E52">
        <f>IF(COUNTIFS(raw!$B$2:$B$43,A52,raw!$AC$2:$AC$43,1)=0,1,0)</f>
        <v/>
      </c>
    </row>
    <row r="53">
      <c r="A53" t="n">
        <v>26</v>
      </c>
      <c r="B53" s="4" t="n">
        <v>45703</v>
      </c>
      <c r="C53" t="n">
        <v>90</v>
      </c>
      <c r="D53" t="n">
        <v>43</v>
      </c>
      <c r="E53">
        <f>IF(COUNTIFS(raw!$B$2:$B$43,A53,raw!$AC$2:$AC$43,1)=0,1,0)</f>
        <v/>
      </c>
    </row>
    <row r="54">
      <c r="A54" t="n">
        <v>26</v>
      </c>
      <c r="B54" s="4" t="n">
        <v>45854</v>
      </c>
      <c r="C54" t="n">
        <v>88</v>
      </c>
      <c r="D54" t="n">
        <v>60</v>
      </c>
      <c r="E54">
        <f>IF(COUNTIFS(raw!$B$2:$B$43,A54,raw!$AC$2:$AC$43,1)=0,1,0)</f>
        <v/>
      </c>
    </row>
    <row r="55">
      <c r="A55" t="n">
        <v>26</v>
      </c>
      <c r="B55" s="4" t="n">
        <v>45896</v>
      </c>
      <c r="C55" t="n">
        <v>153</v>
      </c>
      <c r="D55" t="n">
        <v>27</v>
      </c>
      <c r="E55">
        <f>IF(COUNTIFS(raw!$B$2:$B$43,A55,raw!$AC$2:$AC$43,1)=0,1,0)</f>
        <v/>
      </c>
    </row>
    <row r="56">
      <c r="A56" t="n">
        <v>27</v>
      </c>
      <c r="B56" s="4" t="n">
        <v>45710</v>
      </c>
      <c r="C56" t="n">
        <v>80</v>
      </c>
      <c r="D56" t="n">
        <v>45</v>
      </c>
      <c r="E56">
        <f>IF(COUNTIFS(raw!$B$2:$B$43,A56,raw!$AC$2:$AC$43,1)=0,1,0)</f>
        <v/>
      </c>
    </row>
    <row r="57">
      <c r="A57" t="n">
        <v>27</v>
      </c>
      <c r="B57" s="4" t="n">
        <v>45916</v>
      </c>
      <c r="C57" t="n">
        <v>71</v>
      </c>
      <c r="D57" t="n">
        <v>45</v>
      </c>
      <c r="E57">
        <f>IF(COUNTIFS(raw!$B$2:$B$43,A57,raw!$AC$2:$AC$43,1)=0,1,0)</f>
        <v/>
      </c>
    </row>
    <row r="58">
      <c r="A58" t="n">
        <v>27</v>
      </c>
      <c r="B58" s="4" t="n">
        <v>45968</v>
      </c>
      <c r="C58" t="n">
        <v>146</v>
      </c>
      <c r="D58" t="n">
        <v>45</v>
      </c>
      <c r="E58">
        <f>IF(COUNTIFS(raw!$B$2:$B$43,A58,raw!$AC$2:$AC$43,1)=0,1,0)</f>
        <v/>
      </c>
    </row>
    <row r="59">
      <c r="A59" t="n">
        <v>28</v>
      </c>
      <c r="B59" s="4" t="n">
        <v>45721</v>
      </c>
      <c r="C59" t="n">
        <v>122</v>
      </c>
      <c r="D59" t="n">
        <v>55</v>
      </c>
      <c r="E59">
        <f>IF(COUNTIFS(raw!$B$2:$B$43,A59,raw!$AC$2:$AC$43,1)=0,1,0)</f>
        <v/>
      </c>
    </row>
    <row r="60">
      <c r="A60" t="n">
        <v>28</v>
      </c>
      <c r="B60" s="4" t="n">
        <v>45736</v>
      </c>
      <c r="C60" t="n">
        <v>101</v>
      </c>
      <c r="D60" t="n">
        <v>45</v>
      </c>
      <c r="E60">
        <f>IF(COUNTIFS(raw!$B$2:$B$43,A60,raw!$AC$2:$AC$43,1)=0,1,0)</f>
        <v/>
      </c>
    </row>
    <row r="61">
      <c r="A61" t="n">
        <v>28</v>
      </c>
      <c r="B61" s="4" t="n">
        <v>45822</v>
      </c>
      <c r="C61" t="n">
        <v>75</v>
      </c>
      <c r="D61" t="n">
        <v>64</v>
      </c>
      <c r="E61">
        <f>IF(COUNTIFS(raw!$B$2:$B$43,A61,raw!$AC$2:$AC$43,1)=0,1,0)</f>
        <v/>
      </c>
    </row>
    <row r="62">
      <c r="A62" t="n">
        <v>29</v>
      </c>
      <c r="B62" s="4" t="n">
        <v>45949</v>
      </c>
      <c r="C62" t="n">
        <v>95</v>
      </c>
      <c r="D62" t="n">
        <v>43</v>
      </c>
      <c r="E62">
        <f>IF(COUNTIFS(raw!$B$2:$B$43,A62,raw!$AC$2:$AC$43,1)=0,1,0)</f>
        <v/>
      </c>
    </row>
    <row r="63">
      <c r="A63" t="n">
        <v>31</v>
      </c>
      <c r="B63" s="4" t="n">
        <v>45969</v>
      </c>
      <c r="C63" t="n">
        <v>156</v>
      </c>
      <c r="D63" t="n">
        <v>52</v>
      </c>
      <c r="E63">
        <f>IF(COUNTIFS(raw!$B$2:$B$43,A63,raw!$AC$2:$AC$43,1)=0,1,0)</f>
        <v/>
      </c>
    </row>
    <row r="64">
      <c r="A64" t="n">
        <v>32</v>
      </c>
      <c r="B64" s="4" t="n">
        <v>45729</v>
      </c>
      <c r="C64" t="n">
        <v>123</v>
      </c>
      <c r="D64" t="n">
        <v>45</v>
      </c>
      <c r="E64">
        <f>IF(COUNTIFS(raw!$B$2:$B$43,A64,raw!$AC$2:$AC$43,1)=0,1,0)</f>
        <v/>
      </c>
    </row>
    <row r="65">
      <c r="A65" t="n">
        <v>32</v>
      </c>
      <c r="B65" s="4" t="n">
        <v>45928</v>
      </c>
      <c r="C65" t="n">
        <v>100</v>
      </c>
      <c r="D65" t="n">
        <v>56</v>
      </c>
      <c r="E65">
        <f>IF(COUNTIFS(raw!$B$2:$B$43,A65,raw!$AC$2:$AC$43,1)=0,1,0)</f>
        <v/>
      </c>
    </row>
    <row r="66">
      <c r="A66" t="n">
        <v>33</v>
      </c>
      <c r="B66" s="4" t="n">
        <v>45757</v>
      </c>
      <c r="C66" t="n">
        <v>136</v>
      </c>
      <c r="D66" t="n">
        <v>53</v>
      </c>
      <c r="E66">
        <f>IF(COUNTIFS(raw!$B$2:$B$43,A66,raw!$AC$2:$AC$43,1)=0,1,0)</f>
        <v/>
      </c>
    </row>
    <row r="67">
      <c r="A67" t="n">
        <v>33</v>
      </c>
      <c r="B67" s="4" t="n">
        <v>45899</v>
      </c>
      <c r="C67" t="n">
        <v>100</v>
      </c>
      <c r="D67" t="n">
        <v>57</v>
      </c>
      <c r="E67">
        <f>IF(COUNTIFS(raw!$B$2:$B$43,A67,raw!$AC$2:$AC$43,1)=0,1,0)</f>
        <v/>
      </c>
    </row>
    <row r="68">
      <c r="A68" t="n">
        <v>33</v>
      </c>
      <c r="B68" s="4" t="n">
        <v>45934</v>
      </c>
      <c r="C68" t="n">
        <v>115</v>
      </c>
      <c r="D68" t="n">
        <v>45</v>
      </c>
      <c r="E68">
        <f>IF(COUNTIFS(raw!$B$2:$B$43,A68,raw!$AC$2:$AC$43,1)=0,1,0)</f>
        <v/>
      </c>
    </row>
    <row r="69">
      <c r="A69" t="n">
        <v>34</v>
      </c>
      <c r="B69" s="4" t="n">
        <v>45735</v>
      </c>
      <c r="C69" t="n">
        <v>133</v>
      </c>
      <c r="D69" t="n">
        <v>67</v>
      </c>
      <c r="E69">
        <f>IF(COUNTIFS(raw!$B$2:$B$43,A69,raw!$AC$2:$AC$43,1)=0,1,0)</f>
        <v/>
      </c>
    </row>
    <row r="70">
      <c r="A70" t="n">
        <v>34</v>
      </c>
      <c r="B70" s="4" t="n">
        <v>45800</v>
      </c>
      <c r="C70" t="n">
        <v>127</v>
      </c>
      <c r="D70" t="n">
        <v>34</v>
      </c>
      <c r="E70">
        <f>IF(COUNTIFS(raw!$B$2:$B$43,A70,raw!$AC$2:$AC$43,1)=0,1,0)</f>
        <v/>
      </c>
    </row>
    <row r="71">
      <c r="A71" t="n">
        <v>34</v>
      </c>
      <c r="B71" s="4" t="n">
        <v>45978</v>
      </c>
      <c r="C71" t="n">
        <v>107</v>
      </c>
      <c r="D71" t="n">
        <v>47</v>
      </c>
      <c r="E71">
        <f>IF(COUNTIFS(raw!$B$2:$B$43,A71,raw!$AC$2:$AC$43,1)=0,1,0)</f>
        <v/>
      </c>
    </row>
    <row r="72">
      <c r="A72" t="n">
        <v>35</v>
      </c>
      <c r="B72" s="4" t="n">
        <v>45849</v>
      </c>
      <c r="C72" t="n">
        <v>127</v>
      </c>
      <c r="D72" t="n">
        <v>51</v>
      </c>
      <c r="E72">
        <f>IF(COUNTIFS(raw!$B$2:$B$43,A72,raw!$AC$2:$AC$43,1)=0,1,0)</f>
        <v/>
      </c>
    </row>
    <row r="73">
      <c r="A73" t="n">
        <v>35</v>
      </c>
      <c r="B73" s="4" t="n">
        <v>45856</v>
      </c>
      <c r="C73" t="n">
        <v>143</v>
      </c>
      <c r="D73" t="n">
        <v>50</v>
      </c>
      <c r="E73">
        <f>IF(COUNTIFS(raw!$B$2:$B$43,A73,raw!$AC$2:$AC$43,1)=0,1,0)</f>
        <v/>
      </c>
    </row>
    <row r="74">
      <c r="A74" t="n">
        <v>36</v>
      </c>
      <c r="B74" s="4" t="n">
        <v>45827</v>
      </c>
      <c r="C74" t="n">
        <v>178</v>
      </c>
      <c r="D74" t="n">
        <v>51</v>
      </c>
      <c r="E74">
        <f>IF(COUNTIFS(raw!$B$2:$B$43,A74,raw!$AC$2:$AC$43,1)=0,1,0)</f>
        <v/>
      </c>
    </row>
    <row r="75">
      <c r="A75" t="n">
        <v>36</v>
      </c>
      <c r="B75" s="4" t="n">
        <v>45832</v>
      </c>
      <c r="C75" t="n">
        <v>141</v>
      </c>
      <c r="D75" t="n">
        <v>47</v>
      </c>
      <c r="E75">
        <f>IF(COUNTIFS(raw!$B$2:$B$43,A75,raw!$AC$2:$AC$43,1)=0,1,0)</f>
        <v/>
      </c>
    </row>
    <row r="76">
      <c r="A76" t="n">
        <v>36</v>
      </c>
      <c r="B76" s="4" t="n">
        <v>45962</v>
      </c>
      <c r="C76" t="n">
        <v>97</v>
      </c>
      <c r="D76" t="n">
        <v>54</v>
      </c>
      <c r="E76">
        <f>IF(COUNTIFS(raw!$B$2:$B$43,A76,raw!$AC$2:$AC$43,1)=0,1,0)</f>
        <v/>
      </c>
    </row>
    <row r="77">
      <c r="A77" t="n">
        <v>37</v>
      </c>
      <c r="B77" s="4" t="n">
        <v>45819</v>
      </c>
      <c r="C77" t="n">
        <v>117</v>
      </c>
      <c r="D77" t="n">
        <v>49</v>
      </c>
      <c r="E77">
        <f>IF(COUNTIFS(raw!$B$2:$B$43,A77,raw!$AC$2:$AC$43,1)=0,1,0)</f>
        <v/>
      </c>
    </row>
    <row r="78">
      <c r="A78" t="n">
        <v>37</v>
      </c>
      <c r="B78" s="4" t="n">
        <v>45821</v>
      </c>
      <c r="C78" t="n">
        <v>136</v>
      </c>
      <c r="D78" t="n">
        <v>50</v>
      </c>
      <c r="E78">
        <f>IF(COUNTIFS(raw!$B$2:$B$43,A78,raw!$AC$2:$AC$43,1)=0,1,0)</f>
        <v/>
      </c>
    </row>
    <row r="79">
      <c r="A79" t="n">
        <v>39</v>
      </c>
      <c r="B79" s="4" t="n">
        <v>45677</v>
      </c>
      <c r="C79" t="n">
        <v>128</v>
      </c>
      <c r="D79" t="n">
        <v>59</v>
      </c>
      <c r="E79">
        <f>IF(COUNTIFS(raw!$B$2:$B$43,A79,raw!$AC$2:$AC$43,1)=0,1,0)</f>
        <v/>
      </c>
    </row>
    <row r="80">
      <c r="A80" t="n">
        <v>39</v>
      </c>
      <c r="B80" s="4" t="n">
        <v>45732</v>
      </c>
      <c r="C80" t="n">
        <v>156</v>
      </c>
      <c r="D80" t="n">
        <v>57</v>
      </c>
      <c r="E80">
        <f>IF(COUNTIFS(raw!$B$2:$B$43,A80,raw!$AC$2:$AC$43,1)=0,1,0)</f>
        <v/>
      </c>
    </row>
    <row r="81">
      <c r="A81" t="n">
        <v>39</v>
      </c>
      <c r="B81" s="4" t="n">
        <v>45823</v>
      </c>
      <c r="C81" t="n">
        <v>138</v>
      </c>
      <c r="D81" t="n">
        <v>47</v>
      </c>
      <c r="E81">
        <f>IF(COUNTIFS(raw!$B$2:$B$43,A81,raw!$AC$2:$AC$43,1)=0,1,0)</f>
        <v/>
      </c>
    </row>
    <row r="82">
      <c r="A82" t="n">
        <v>40</v>
      </c>
      <c r="B82" s="4" t="n">
        <v>45730</v>
      </c>
      <c r="C82" t="n">
        <v>141</v>
      </c>
      <c r="D82" t="n">
        <v>48</v>
      </c>
      <c r="E82">
        <f>IF(COUNTIFS(raw!$B$2:$B$43,A82,raw!$AC$2:$AC$43,1)=0,1,0)</f>
        <v/>
      </c>
    </row>
    <row r="83">
      <c r="A83" t="n">
        <v>40</v>
      </c>
      <c r="B83" s="4" t="n">
        <v>45873</v>
      </c>
      <c r="C83" t="n">
        <v>118</v>
      </c>
      <c r="D83" t="n">
        <v>51</v>
      </c>
      <c r="E83">
        <f>IF(COUNTIFS(raw!$B$2:$B$43,A83,raw!$AC$2:$AC$43,1)=0,1,0)</f>
        <v/>
      </c>
    </row>
    <row r="84">
      <c r="A84" t="n">
        <v>99</v>
      </c>
      <c r="B84" s="4" t="n">
        <v>45809</v>
      </c>
      <c r="C84" t="n">
        <v>140</v>
      </c>
      <c r="D84" t="n">
        <v>40</v>
      </c>
      <c r="E84">
        <f>IF(COUNTIFS(raw!$B$2:$B$43,A84,raw!$AC$2:$AC$43,1)=0,1,0)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entry_no</t>
        </is>
      </c>
      <c r="B1" s="2" t="inlineStr">
        <is>
          <t>pid</t>
        </is>
      </c>
      <c r="C1" s="2" t="inlineStr">
        <is>
          <t>sex</t>
        </is>
      </c>
      <c r="D1" s="2" t="inlineStr">
        <is>
          <t>dob</t>
        </is>
      </c>
      <c r="E1" s="2" t="inlineStr">
        <is>
          <t>visit_date</t>
        </is>
      </c>
      <c r="F1" s="2" t="inlineStr">
        <is>
          <t>height_cm</t>
        </is>
      </c>
      <c r="G1" s="2" t="inlineStr">
        <is>
          <t>weight_kg</t>
        </is>
      </c>
      <c r="H1" s="2" t="inlineStr">
        <is>
          <t>sbp</t>
        </is>
      </c>
      <c r="I1" s="2" t="inlineStr">
        <is>
          <t>dbp</t>
        </is>
      </c>
      <c r="J1" s="2" t="inlineStr">
        <is>
          <t>smoker</t>
        </is>
      </c>
      <c r="K1" s="2" t="inlineStr">
        <is>
          <t>pregnant</t>
        </is>
      </c>
      <c r="L1" s="2" t="inlineStr">
        <is>
          <t>hba1c</t>
        </is>
      </c>
    </row>
    <row r="2">
      <c r="A2" t="n">
        <v>101</v>
      </c>
      <c r="B2" t="n">
        <v>101</v>
      </c>
      <c r="C2" t="inlineStr">
        <is>
          <t>F</t>
        </is>
      </c>
      <c r="D2" s="4" t="n">
        <v>22354</v>
      </c>
      <c r="E2" s="4" t="n">
        <v>45749</v>
      </c>
      <c r="F2" t="n">
        <v>158</v>
      </c>
      <c r="G2" t="n">
        <v>71.5</v>
      </c>
      <c r="H2" t="n">
        <v>142</v>
      </c>
      <c r="I2" t="n">
        <v>88</v>
      </c>
      <c r="J2" t="inlineStr">
        <is>
          <t>no</t>
        </is>
      </c>
      <c r="K2" t="inlineStr">
        <is>
          <t>no</t>
        </is>
      </c>
      <c r="L2" t="n">
        <v>7.2</v>
      </c>
    </row>
    <row r="3">
      <c r="A3" t="n">
        <v>102</v>
      </c>
      <c r="B3" t="n">
        <v>102</v>
      </c>
      <c r="C3" t="inlineStr">
        <is>
          <t>M</t>
        </is>
      </c>
      <c r="D3" s="4" t="n">
        <v>27700</v>
      </c>
      <c r="E3" s="4" t="n">
        <v>45756</v>
      </c>
      <c r="F3" t="n">
        <v>176</v>
      </c>
      <c r="G3" t="n">
        <v>88.2</v>
      </c>
      <c r="H3" t="n">
        <v>150</v>
      </c>
      <c r="I3" t="n">
        <v>92</v>
      </c>
      <c r="J3" t="inlineStr">
        <is>
          <t>yes</t>
        </is>
      </c>
      <c r="L3" t="n">
        <v>6.5</v>
      </c>
    </row>
    <row r="4">
      <c r="A4" t="n">
        <v>103</v>
      </c>
      <c r="B4" t="n">
        <v>103</v>
      </c>
      <c r="C4" t="inlineStr">
        <is>
          <t>F</t>
        </is>
      </c>
      <c r="D4" s="4" t="n">
        <v>21387</v>
      </c>
      <c r="E4" s="4" t="n">
        <v>45792</v>
      </c>
      <c r="F4" t="n">
        <v>162</v>
      </c>
      <c r="G4" t="n">
        <v>64</v>
      </c>
      <c r="H4" t="n">
        <v>128</v>
      </c>
      <c r="I4" t="n">
        <v>79</v>
      </c>
      <c r="J4" t="inlineStr">
        <is>
          <t>no</t>
        </is>
      </c>
      <c r="K4" t="inlineStr">
        <is>
          <t>no</t>
        </is>
      </c>
      <c r="L4" t="n">
        <v>5.9</v>
      </c>
    </row>
    <row r="5">
      <c r="A5" t="n">
        <v>104</v>
      </c>
      <c r="B5" t="n">
        <v>104</v>
      </c>
      <c r="C5" t="inlineStr">
        <is>
          <t>M</t>
        </is>
      </c>
      <c r="D5" s="4" t="n">
        <v>30346</v>
      </c>
      <c r="E5" s="4" t="n">
        <v>45828</v>
      </c>
      <c r="F5" t="n">
        <v>181</v>
      </c>
      <c r="G5" t="n">
        <v>95.40000000000001</v>
      </c>
      <c r="H5" t="n">
        <v>135</v>
      </c>
      <c r="I5" t="n">
        <v>84</v>
      </c>
      <c r="J5" t="inlineStr">
        <is>
          <t>yes</t>
        </is>
      </c>
      <c r="L5" t="n">
        <v>8.1</v>
      </c>
    </row>
    <row r="6">
      <c r="A6" t="n">
        <v>105</v>
      </c>
      <c r="B6" t="n">
        <v>105</v>
      </c>
      <c r="C6" t="inlineStr">
        <is>
          <t>F</t>
        </is>
      </c>
      <c r="D6" s="4" t="n">
        <v>25455</v>
      </c>
      <c r="E6" s="4" t="n">
        <v>45839</v>
      </c>
      <c r="F6" t="n">
        <v>155</v>
      </c>
      <c r="G6" t="n">
        <v>77.3</v>
      </c>
      <c r="H6" t="n">
        <v>160</v>
      </c>
      <c r="I6" t="n">
        <v>96</v>
      </c>
      <c r="J6" t="inlineStr">
        <is>
          <t>no</t>
        </is>
      </c>
      <c r="K6" t="inlineStr">
        <is>
          <t>no</t>
        </is>
      </c>
      <c r="L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2026-10-26T18:52:22Z</dcterms:created>
  <dcterms:modified xmlns:dcterms="http://purl.org/dc/terms/" xmlns:xsi="http://www.w3.org/2001/XMLSchema-instance" xsi:type="dcterms:W3CDTF">2026-10-26T18:52:22Z</dcterms:modified>
</cp:coreProperties>
</file>